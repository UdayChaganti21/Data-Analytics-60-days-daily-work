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Mine\Data Analytics Practises\Day5\"/>
    </mc:Choice>
  </mc:AlternateContent>
  <xr:revisionPtr revIDLastSave="0" documentId="8_{82C13258-F4FB-4FAD-9EED-76CC29BA0B53}" xr6:coauthVersionLast="47" xr6:coauthVersionMax="47" xr10:uidLastSave="{00000000-0000-0000-0000-000000000000}"/>
  <bookViews>
    <workbookView xWindow="-108" yWindow="-108" windowWidth="23256" windowHeight="12456" xr2:uid="{E31637C7-7AF3-4B62-9E70-AFAE217AA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38" i="1"/>
  <c r="H37" i="1"/>
  <c r="H36" i="1"/>
  <c r="H35" i="1"/>
  <c r="H34" i="1"/>
  <c r="H33" i="1"/>
  <c r="H32" i="1"/>
  <c r="N22" i="1"/>
  <c r="J26" i="1"/>
  <c r="I21" i="1"/>
  <c r="P13" i="1"/>
  <c r="N13" i="1"/>
  <c r="N12" i="1"/>
  <c r="O12" i="1"/>
  <c r="P12" i="1"/>
  <c r="Q12" i="1"/>
  <c r="O13" i="1"/>
  <c r="Q13" i="1"/>
  <c r="N14" i="1"/>
  <c r="O14" i="1"/>
  <c r="P14" i="1"/>
  <c r="Q14" i="1"/>
  <c r="O11" i="1"/>
  <c r="P11" i="1"/>
  <c r="Q11" i="1"/>
  <c r="N11" i="1"/>
  <c r="J16" i="1"/>
  <c r="M4" i="1" a="1"/>
  <c r="M4" i="1" s="1"/>
  <c r="I5" i="1"/>
  <c r="K4" i="1" a="1"/>
  <c r="K4" i="1" s="1"/>
  <c r="I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<sst xmlns="http://schemas.openxmlformats.org/spreadsheetml/2006/main" count="73" uniqueCount="39">
  <si>
    <t>Name</t>
  </si>
  <si>
    <t>Place</t>
  </si>
  <si>
    <t>Dept</t>
  </si>
  <si>
    <t>Sales</t>
  </si>
  <si>
    <t>Uday</t>
  </si>
  <si>
    <t>Shiva</t>
  </si>
  <si>
    <t>Raghu</t>
  </si>
  <si>
    <t>Manohar</t>
  </si>
  <si>
    <t>Sathish</t>
  </si>
  <si>
    <t>Laxman</t>
  </si>
  <si>
    <t>Hyderabad</t>
  </si>
  <si>
    <t>Suryapet</t>
  </si>
  <si>
    <t>Vijaywada</t>
  </si>
  <si>
    <t>Medak</t>
  </si>
  <si>
    <t>CSE</t>
  </si>
  <si>
    <t>IT</t>
  </si>
  <si>
    <t>DS</t>
  </si>
  <si>
    <t>CIVIL</t>
  </si>
  <si>
    <t>USING SUMIF</t>
  </si>
  <si>
    <t>Using SUMIFS</t>
  </si>
  <si>
    <t xml:space="preserve"> Pranav</t>
  </si>
  <si>
    <t>Place/Dept</t>
  </si>
  <si>
    <t>Vijayawada</t>
  </si>
  <si>
    <t>Count</t>
  </si>
  <si>
    <t>Using COUNTIF</t>
  </si>
  <si>
    <t>Using COUNTIFS</t>
  </si>
  <si>
    <t>Using AVERAGEIF</t>
  </si>
  <si>
    <t>Average</t>
  </si>
  <si>
    <t>Using TEXT Function</t>
  </si>
  <si>
    <t>Left</t>
  </si>
  <si>
    <t>Right</t>
  </si>
  <si>
    <t>Mid</t>
  </si>
  <si>
    <t>Kumar</t>
  </si>
  <si>
    <t>Concatinate</t>
  </si>
  <si>
    <t>Find</t>
  </si>
  <si>
    <t>Search</t>
  </si>
  <si>
    <t>Replace</t>
  </si>
  <si>
    <t>Substitute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</si>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</sst>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BCE2-17F6-420D-951A-B8953E25BA06}">
  <dimension ref="B1:Q39"/>
  <sheetViews>
    <sheetView tabSelected="1" zoomScale="102" workbookViewId="0">
      <selection activeCell="B4" sqref="B4:E11"/>
    </sheetView>
  </sheetViews>
  <sheetFormatPr defaultRowHeight="14.4" x14ac:dyDescent="0.3"/>
  <cols>
    <col min="3" max="3" width="12.33203125" customWidth="1"/>
    <col min="7" max="7" width="13.44140625" customWidth="1"/>
    <col min="8" max="8" width="12.77734375" customWidth="1"/>
    <col min="9" max="9" width="10.44140625" customWidth="1"/>
    <col min="13" max="13" width="11.77734375" customWidth="1"/>
  </cols>
  <sheetData>
    <row r="1" spans="2:17" x14ac:dyDescent="0.3">
      <c r="H1" t="s">
        <v>18</v>
      </c>
    </row>
    <row r="4" spans="2:17" x14ac:dyDescent="0.3">
      <c r="B4" s="3" t="s">
        <v>0</v>
      </c>
      <c r="C4" s="3" t="s">
        <v>1</v>
      </c>
      <c r="D4" s="3" t="s">
        <v>2</v>
      </c>
      <c r="E4" s="4" t="s">
        <v>3</v>
      </c>
      <c r="H4" s="1" t="s">
        <v>2</v>
      </c>
      <c r="I4" s="1" t="s">
        <v>3</v>
      </c>
      <c r="K4" t="str" cm="1">
        <f t="array" ref="K4:K7">_xlfn.UNIQUE(Sheet1!$C$5:$C$11)</f>
        <v>Hyderabad</v>
      </c>
      <c r="M4" t="str" cm="1">
        <f t="array" ref="M4:M7">_xlfn.UNIQUE(Sheet1!$D$5:$D$11)</f>
        <v>CSE</v>
      </c>
    </row>
    <row r="5" spans="2:17" x14ac:dyDescent="0.3">
      <c r="B5" s="5" t="s">
        <v>4</v>
      </c>
      <c r="C5" s="5" t="s">
        <v>10</v>
      </c>
      <c r="D5" s="5" t="s">
        <v>14</v>
      </c>
      <c r="E5" s="6">
        <v>20120</v>
      </c>
      <c r="H5" s="1" t="s">
        <v>14</v>
      </c>
      <c r="I5" s="1">
        <f>SUMIF(Sheet1!$D$4:$D$11,H5,Sheet1!$E$4:$E$11)</f>
        <v>111976</v>
      </c>
      <c r="K5" t="str">
        <v>Suryapet</v>
      </c>
      <c r="M5" t="str">
        <v>IT</v>
      </c>
    </row>
    <row r="6" spans="2:17" x14ac:dyDescent="0.3">
      <c r="B6" s="7" t="s">
        <v>5</v>
      </c>
      <c r="C6" s="7" t="s">
        <v>11</v>
      </c>
      <c r="D6" s="7" t="s">
        <v>15</v>
      </c>
      <c r="E6" s="8">
        <v>54214</v>
      </c>
      <c r="K6" t="str">
        <v>Vijaywada</v>
      </c>
      <c r="M6" t="str">
        <v>DS</v>
      </c>
    </row>
    <row r="7" spans="2:17" x14ac:dyDescent="0.3">
      <c r="B7" s="5" t="s">
        <v>6</v>
      </c>
      <c r="C7" s="5" t="s">
        <v>11</v>
      </c>
      <c r="D7" s="5" t="s">
        <v>14</v>
      </c>
      <c r="E7" s="6">
        <v>54210</v>
      </c>
      <c r="K7" t="str">
        <v>Medak</v>
      </c>
      <c r="M7" t="str">
        <v>CIVIL</v>
      </c>
    </row>
    <row r="8" spans="2:17" x14ac:dyDescent="0.3">
      <c r="B8" s="7" t="s">
        <v>7</v>
      </c>
      <c r="C8" s="7" t="s">
        <v>12</v>
      </c>
      <c r="D8" s="7" t="s">
        <v>16</v>
      </c>
      <c r="E8" s="8">
        <v>79532</v>
      </c>
      <c r="H8" s="1" t="s">
        <v>1</v>
      </c>
      <c r="I8" s="1" t="s">
        <v>3</v>
      </c>
    </row>
    <row r="9" spans="2:17" x14ac:dyDescent="0.3">
      <c r="B9" s="5" t="s">
        <v>8</v>
      </c>
      <c r="C9" s="5" t="s">
        <v>10</v>
      </c>
      <c r="D9" s="5" t="s">
        <v>17</v>
      </c>
      <c r="E9" s="6">
        <v>21356</v>
      </c>
      <c r="H9" s="1" t="s">
        <v>11</v>
      </c>
      <c r="I9" s="1">
        <f>SUMIF(Sheet1!$C$4:$C$11,H9,Sheet1!$E$4:$E$11)</f>
        <v>108424</v>
      </c>
    </row>
    <row r="10" spans="2:17" x14ac:dyDescent="0.3">
      <c r="B10" s="7" t="s">
        <v>9</v>
      </c>
      <c r="C10" s="7" t="s">
        <v>13</v>
      </c>
      <c r="D10" s="7" t="s">
        <v>15</v>
      </c>
      <c r="E10" s="8">
        <v>25364</v>
      </c>
      <c r="M10" s="2" t="s">
        <v>21</v>
      </c>
      <c r="N10" s="2" t="s">
        <v>14</v>
      </c>
      <c r="O10" s="2" t="s">
        <v>15</v>
      </c>
      <c r="P10" s="2" t="s">
        <v>16</v>
      </c>
      <c r="Q10" s="2" t="s">
        <v>17</v>
      </c>
    </row>
    <row r="11" spans="2:17" x14ac:dyDescent="0.3">
      <c r="B11" s="9" t="s">
        <v>20</v>
      </c>
      <c r="C11" s="9" t="s">
        <v>10</v>
      </c>
      <c r="D11" s="9" t="s">
        <v>14</v>
      </c>
      <c r="E11" s="10">
        <v>37646</v>
      </c>
      <c r="M11" s="2" t="s">
        <v>10</v>
      </c>
      <c r="N11" s="2">
        <f>SUMIFS($E$5:$E$11,$C$5:$C$11,$M11,$D$5:$D$11,N$10)</f>
        <v>57766</v>
      </c>
      <c r="O11" s="2">
        <f t="shared" ref="O11:Q14" si="0">SUMIFS($E$5:$E$11,$C$5:$C$11,$M11,$D$5:$D$11,O$10)</f>
        <v>0</v>
      </c>
      <c r="P11" s="2">
        <f t="shared" si="0"/>
        <v>0</v>
      </c>
      <c r="Q11" s="2">
        <f t="shared" si="0"/>
        <v>21356</v>
      </c>
    </row>
    <row r="12" spans="2:17" x14ac:dyDescent="0.3">
      <c r="M12" s="2" t="s">
        <v>11</v>
      </c>
      <c r="N12" s="2">
        <f t="shared" ref="N12:N14" si="1">SUMIFS($E$5:$E$11,$C$5:$C$11,$M12,$D$5:$D$11,N$10)</f>
        <v>54210</v>
      </c>
      <c r="O12" s="2">
        <f t="shared" si="0"/>
        <v>54214</v>
      </c>
      <c r="P12" s="2">
        <f t="shared" si="0"/>
        <v>0</v>
      </c>
      <c r="Q12" s="2">
        <f t="shared" si="0"/>
        <v>0</v>
      </c>
    </row>
    <row r="13" spans="2:17" x14ac:dyDescent="0.3">
      <c r="H13" t="s">
        <v>19</v>
      </c>
      <c r="M13" s="2" t="s">
        <v>22</v>
      </c>
      <c r="N13" s="2">
        <f>SUMIFS($E$5:$E$11,$C$5:$C$11,$M13,$D$5:$D$11,N$10)</f>
        <v>0</v>
      </c>
      <c r="O13" s="2">
        <f t="shared" si="0"/>
        <v>0</v>
      </c>
      <c r="P13" s="2">
        <f>SUMIFS($E$5:$E$11,$C$5:$C$11,$M13,$D$5:$D$11,P$10)</f>
        <v>0</v>
      </c>
      <c r="Q13" s="2">
        <f t="shared" si="0"/>
        <v>0</v>
      </c>
    </row>
    <row r="14" spans="2:17" x14ac:dyDescent="0.3">
      <c r="M14" s="2" t="s">
        <v>13</v>
      </c>
      <c r="N14" s="2">
        <f t="shared" si="1"/>
        <v>0</v>
      </c>
      <c r="O14" s="2">
        <f t="shared" si="0"/>
        <v>25364</v>
      </c>
      <c r="P14" s="2">
        <f t="shared" si="0"/>
        <v>0</v>
      </c>
      <c r="Q14" s="2">
        <f t="shared" si="0"/>
        <v>0</v>
      </c>
    </row>
    <row r="15" spans="2:17" x14ac:dyDescent="0.3">
      <c r="H15" s="1" t="s">
        <v>2</v>
      </c>
      <c r="I15" s="1" t="s">
        <v>1</v>
      </c>
      <c r="J15" s="1" t="s">
        <v>3</v>
      </c>
    </row>
    <row r="16" spans="2:17" x14ac:dyDescent="0.3">
      <c r="H16" s="1" t="s">
        <v>14</v>
      </c>
      <c r="I16" s="1" t="s">
        <v>10</v>
      </c>
      <c r="J16" s="1">
        <f>SUMIFS(Sheet1!$E$5:$E$11,Sheet1!$D$5:$D$11,H16,Sheet1!$C$5:$C$11,I16)</f>
        <v>57766</v>
      </c>
    </row>
    <row r="18" spans="7:17" x14ac:dyDescent="0.3">
      <c r="H18" t="s">
        <v>24</v>
      </c>
      <c r="Q18" s="1" t="s">
        <v>38</v>
      </c>
    </row>
    <row r="19" spans="7:17" x14ac:dyDescent="0.3">
      <c r="M19" t="s">
        <v>26</v>
      </c>
      <c r="Q19" s="1"/>
    </row>
    <row r="20" spans="7:17" x14ac:dyDescent="0.3">
      <c r="H20" s="1" t="s">
        <v>2</v>
      </c>
      <c r="I20" s="1" t="s">
        <v>23</v>
      </c>
    </row>
    <row r="21" spans="7:17" x14ac:dyDescent="0.3">
      <c r="H21" s="1" t="s">
        <v>14</v>
      </c>
      <c r="I21" s="1">
        <f>COUNTIF(E5:E11,"&gt;"&amp;20000)</f>
        <v>7</v>
      </c>
      <c r="M21" s="1" t="s">
        <v>2</v>
      </c>
      <c r="N21" s="1" t="s">
        <v>27</v>
      </c>
    </row>
    <row r="22" spans="7:17" x14ac:dyDescent="0.3">
      <c r="M22" s="1" t="s">
        <v>14</v>
      </c>
      <c r="N22" s="1">
        <f ca="1">AVERAGEIF(D5:E11,"CSE",E5:E11)</f>
        <v>37325.333333333336</v>
      </c>
    </row>
    <row r="23" spans="7:17" x14ac:dyDescent="0.3">
      <c r="H23" t="s">
        <v>25</v>
      </c>
    </row>
    <row r="25" spans="7:17" x14ac:dyDescent="0.3">
      <c r="H25" s="1" t="s">
        <v>2</v>
      </c>
      <c r="I25" s="1" t="s">
        <v>1</v>
      </c>
      <c r="J25" s="1" t="s">
        <v>23</v>
      </c>
    </row>
    <row r="26" spans="7:17" x14ac:dyDescent="0.3">
      <c r="H26" s="1" t="s">
        <v>14</v>
      </c>
      <c r="I26" s="1" t="s">
        <v>10</v>
      </c>
      <c r="J26" s="1">
        <f>COUNTIFS(D5:D11,"CSE",C5:C11,"Hyderabad")</f>
        <v>2</v>
      </c>
    </row>
    <row r="30" spans="7:17" x14ac:dyDescent="0.3">
      <c r="H30" t="s">
        <v>28</v>
      </c>
      <c r="K30" t="s">
        <v>4</v>
      </c>
      <c r="L30" t="s">
        <v>32</v>
      </c>
    </row>
    <row r="32" spans="7:17" x14ac:dyDescent="0.3">
      <c r="G32" s="1" t="s">
        <v>29</v>
      </c>
      <c r="H32" s="1" t="str">
        <f>LEFT(K30,3)</f>
        <v>Uda</v>
      </c>
    </row>
    <row r="33" spans="7:8" x14ac:dyDescent="0.3">
      <c r="G33" s="1" t="s">
        <v>30</v>
      </c>
      <c r="H33" s="1" t="str">
        <f>RIGHT(K30,2)</f>
        <v>ay</v>
      </c>
    </row>
    <row r="34" spans="7:8" x14ac:dyDescent="0.3">
      <c r="G34" s="1" t="s">
        <v>31</v>
      </c>
      <c r="H34" s="1" t="str">
        <f>MID(K30,2,2)</f>
        <v>da</v>
      </c>
    </row>
    <row r="35" spans="7:8" x14ac:dyDescent="0.3">
      <c r="G35" s="1" t="s">
        <v>33</v>
      </c>
      <c r="H35" s="1" t="str">
        <f>CONCATENATE(K30,L30)</f>
        <v>UdayKumar</v>
      </c>
    </row>
    <row r="36" spans="7:8" x14ac:dyDescent="0.3">
      <c r="G36" s="1" t="s">
        <v>34</v>
      </c>
      <c r="H36" s="1">
        <f>FIND("da",K30,1)</f>
        <v>2</v>
      </c>
    </row>
    <row r="37" spans="7:8" x14ac:dyDescent="0.3">
      <c r="G37" s="1" t="s">
        <v>35</v>
      </c>
      <c r="H37" s="1">
        <f>SEARCH("d",K30)</f>
        <v>2</v>
      </c>
    </row>
    <row r="38" spans="7:8" x14ac:dyDescent="0.3">
      <c r="G38" s="1" t="s">
        <v>36</v>
      </c>
      <c r="H38" s="1" t="str">
        <f>REPLACE(K30,2,2,"aa")</f>
        <v>Uaay</v>
      </c>
    </row>
    <row r="39" spans="7:8" x14ac:dyDescent="0.3">
      <c r="G39" s="1" t="s">
        <v>37</v>
      </c>
      <c r="H39" s="1" t="str">
        <f>SUBSTITUTE(K30,"da","DA")</f>
        <v>UDAy</v>
      </c>
    </row>
  </sheetData>
  <conditionalFormatting sqref="B4:E11">
    <cfRule type="iconSet" priority="1">
      <iconSet>
        <cfvo type="percent" val="0"/>
        <cfvo type="percent" val="33"/>
        <cfvo type="percent" val="67"/>
      </iconSet>
    </cfRule>
    <cfRule type="expression" dxfId="0" priority="4">
      <formula>$D4=$Q$19</formula>
    </cfRule>
  </conditionalFormatting>
  <dataValidations count="2">
    <dataValidation type="list" allowBlank="1" showInputMessage="1" showErrorMessage="1" sqref="H9" xr:uid="{B37660BB-7381-40E4-AB75-A0C240AF5DA3}">
      <formula1>$K$4:$K$7</formula1>
    </dataValidation>
    <dataValidation type="list" allowBlank="1" showInputMessage="1" showErrorMessage="1" sqref="H5 H21" xr:uid="{A726B6B9-BD64-4C1B-AD27-B450B91A25D3}">
      <formula1>$M$4:$M$7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chaganti</dc:creator>
  <cp:lastModifiedBy>uday chaganti</cp:lastModifiedBy>
  <dcterms:created xsi:type="dcterms:W3CDTF">2026-06-07T05:47:41Z</dcterms:created>
  <dcterms:modified xsi:type="dcterms:W3CDTF">2026-06-07T08:04:22Z</dcterms:modified>
</cp:coreProperties>
</file>