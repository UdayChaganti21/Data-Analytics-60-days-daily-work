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mine\practises of data analytics\Day2\"/>
    </mc:Choice>
  </mc:AlternateContent>
  <xr:revisionPtr revIDLastSave="0" documentId="13_ncr:1_{855DD67D-F7C4-4D2A-982F-BFB2518B2301}" xr6:coauthVersionLast="47" xr6:coauthVersionMax="47" xr10:uidLastSave="{00000000-0000-0000-0000-000000000000}"/>
  <bookViews>
    <workbookView xWindow="-108" yWindow="-108" windowWidth="23256" windowHeight="12456" xr2:uid="{8C5B19B6-6745-41CD-A265-885A52C78E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" i="1" l="1"/>
  <c r="N26" i="1"/>
  <c r="N27" i="1"/>
  <c r="N28" i="1"/>
  <c r="N24" i="1"/>
  <c r="M25" i="1"/>
  <c r="M26" i="1"/>
  <c r="M27" i="1"/>
  <c r="M28" i="1"/>
  <c r="M24" i="1"/>
  <c r="L24" i="1"/>
  <c r="L25" i="1"/>
  <c r="L26" i="1"/>
  <c r="L27" i="1"/>
  <c r="L28" i="1"/>
  <c r="K25" i="1"/>
  <c r="K26" i="1"/>
  <c r="K27" i="1"/>
  <c r="K28" i="1"/>
  <c r="K24" i="1"/>
  <c r="J28" i="1"/>
  <c r="J25" i="1"/>
  <c r="J26" i="1"/>
  <c r="J27" i="1"/>
  <c r="J24" i="1"/>
  <c r="I26" i="1"/>
  <c r="I27" i="1"/>
  <c r="H25" i="1"/>
  <c r="I25" i="1" s="1"/>
  <c r="H26" i="1"/>
  <c r="H27" i="1"/>
  <c r="H28" i="1"/>
  <c r="I28" i="1" s="1"/>
  <c r="H24" i="1"/>
  <c r="I24" i="1" s="1"/>
  <c r="G25" i="1"/>
  <c r="G26" i="1"/>
  <c r="G27" i="1"/>
  <c r="G28" i="1"/>
  <c r="G24" i="1"/>
  <c r="M17" i="1"/>
  <c r="M18" i="1"/>
  <c r="M19" i="1"/>
  <c r="M20" i="1"/>
  <c r="M16" i="1"/>
  <c r="L16" i="1"/>
  <c r="L17" i="1"/>
  <c r="L18" i="1"/>
  <c r="L19" i="1"/>
  <c r="L20" i="1"/>
  <c r="K17" i="1"/>
  <c r="K18" i="1"/>
  <c r="K19" i="1"/>
  <c r="K20" i="1"/>
  <c r="K16" i="1"/>
  <c r="J16" i="1"/>
  <c r="J17" i="1"/>
  <c r="J18" i="1"/>
  <c r="J19" i="1"/>
  <c r="J20" i="1"/>
  <c r="I17" i="1"/>
  <c r="I18" i="1"/>
  <c r="I19" i="1"/>
  <c r="I20" i="1"/>
  <c r="I16" i="1"/>
  <c r="H17" i="1"/>
  <c r="H18" i="1"/>
  <c r="H19" i="1"/>
  <c r="H20" i="1"/>
  <c r="H16" i="1"/>
  <c r="D6" i="1"/>
  <c r="D7" i="1"/>
  <c r="E7" i="1"/>
  <c r="F7" i="1"/>
  <c r="G7" i="1"/>
  <c r="H7" i="1"/>
  <c r="I7" i="1"/>
  <c r="D8" i="1"/>
  <c r="E8" i="1"/>
  <c r="F8" i="1"/>
  <c r="G8" i="1"/>
  <c r="H8" i="1"/>
  <c r="I8" i="1"/>
  <c r="D9" i="1"/>
  <c r="E9" i="1"/>
  <c r="F9" i="1"/>
  <c r="G9" i="1"/>
  <c r="H9" i="1"/>
  <c r="I9" i="1"/>
  <c r="D10" i="1"/>
  <c r="E10" i="1"/>
  <c r="F10" i="1"/>
  <c r="G10" i="1"/>
  <c r="H10" i="1"/>
  <c r="I10" i="1"/>
  <c r="D11" i="1"/>
  <c r="E11" i="1"/>
  <c r="F11" i="1"/>
  <c r="G11" i="1"/>
  <c r="H11" i="1"/>
  <c r="I11" i="1"/>
  <c r="E6" i="1"/>
  <c r="F6" i="1"/>
  <c r="G6" i="1"/>
  <c r="H6" i="1"/>
  <c r="I6" i="1"/>
</calcChain>
</file>

<file path=xl/sharedStrings.xml><?xml version="1.0" encoding="utf-8"?>
<sst xmlns="http://schemas.openxmlformats.org/spreadsheetml/2006/main" count="34" uniqueCount="24">
  <si>
    <t>Numbers</t>
  </si>
  <si>
    <t>Student</t>
  </si>
  <si>
    <t>Maths</t>
  </si>
  <si>
    <t>Physics</t>
  </si>
  <si>
    <t>Chemistry</t>
  </si>
  <si>
    <t>English</t>
  </si>
  <si>
    <t>Sum</t>
  </si>
  <si>
    <t>Average</t>
  </si>
  <si>
    <t>Min</t>
  </si>
  <si>
    <t>Max</t>
  </si>
  <si>
    <t>Count</t>
  </si>
  <si>
    <t>A</t>
  </si>
  <si>
    <t>B</t>
  </si>
  <si>
    <t>C</t>
  </si>
  <si>
    <t>D</t>
  </si>
  <si>
    <t>E</t>
  </si>
  <si>
    <t>Counta</t>
  </si>
  <si>
    <t>Promote</t>
  </si>
  <si>
    <t>Pass</t>
  </si>
  <si>
    <t>Fail</t>
  </si>
  <si>
    <t>Grade</t>
  </si>
  <si>
    <t>Result2</t>
  </si>
  <si>
    <t>Result1</t>
  </si>
  <si>
    <t>Result3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</si>
</sst>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9" fontId="0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7B36C-FA94-49AA-9DAF-B8019C7F33A7}">
  <dimension ref="C5:N28"/>
  <sheetViews>
    <sheetView tabSelected="1" topLeftCell="A7" workbookViewId="0">
      <selection activeCell="N24" sqref="N24:N28"/>
    </sheetView>
  </sheetViews>
  <sheetFormatPr defaultRowHeight="14.4" x14ac:dyDescent="0.3"/>
  <cols>
    <col min="6" max="6" width="10.21875" customWidth="1"/>
  </cols>
  <sheetData>
    <row r="5" spans="3:13" x14ac:dyDescent="0.3">
      <c r="C5" s="1" t="s">
        <v>0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</row>
    <row r="6" spans="3:13" x14ac:dyDescent="0.3">
      <c r="C6" s="1">
        <v>1</v>
      </c>
      <c r="D6" s="1">
        <f>$C6*D$5</f>
        <v>1</v>
      </c>
      <c r="E6" s="1">
        <f t="shared" ref="E6:I11" si="0">$C6*E$5</f>
        <v>2</v>
      </c>
      <c r="F6" s="1">
        <f t="shared" si="0"/>
        <v>3</v>
      </c>
      <c r="G6" s="1">
        <f t="shared" si="0"/>
        <v>4</v>
      </c>
      <c r="H6" s="1">
        <f t="shared" si="0"/>
        <v>5</v>
      </c>
      <c r="I6" s="1">
        <f t="shared" si="0"/>
        <v>6</v>
      </c>
    </row>
    <row r="7" spans="3:13" x14ac:dyDescent="0.3">
      <c r="C7" s="1">
        <v>2</v>
      </c>
      <c r="D7" s="1">
        <f t="shared" ref="D7:D11" si="1">$C7*D$5</f>
        <v>2</v>
      </c>
      <c r="E7" s="1">
        <f t="shared" si="0"/>
        <v>4</v>
      </c>
      <c r="F7" s="1">
        <f t="shared" si="0"/>
        <v>6</v>
      </c>
      <c r="G7" s="1">
        <f t="shared" si="0"/>
        <v>8</v>
      </c>
      <c r="H7" s="1">
        <f t="shared" si="0"/>
        <v>10</v>
      </c>
      <c r="I7" s="1">
        <f t="shared" si="0"/>
        <v>12</v>
      </c>
    </row>
    <row r="8" spans="3:13" x14ac:dyDescent="0.3">
      <c r="C8" s="1">
        <v>3</v>
      </c>
      <c r="D8" s="1">
        <f t="shared" si="1"/>
        <v>3</v>
      </c>
      <c r="E8" s="1">
        <f t="shared" si="0"/>
        <v>6</v>
      </c>
      <c r="F8" s="1">
        <f t="shared" si="0"/>
        <v>9</v>
      </c>
      <c r="G8" s="1">
        <f t="shared" si="0"/>
        <v>12</v>
      </c>
      <c r="H8" s="1">
        <f t="shared" si="0"/>
        <v>15</v>
      </c>
      <c r="I8" s="1">
        <f t="shared" si="0"/>
        <v>18</v>
      </c>
    </row>
    <row r="9" spans="3:13" x14ac:dyDescent="0.3">
      <c r="C9" s="1">
        <v>4</v>
      </c>
      <c r="D9" s="1">
        <f t="shared" si="1"/>
        <v>4</v>
      </c>
      <c r="E9" s="1">
        <f t="shared" si="0"/>
        <v>8</v>
      </c>
      <c r="F9" s="1">
        <f t="shared" si="0"/>
        <v>12</v>
      </c>
      <c r="G9" s="1">
        <f t="shared" si="0"/>
        <v>16</v>
      </c>
      <c r="H9" s="1">
        <f t="shared" si="0"/>
        <v>20</v>
      </c>
      <c r="I9" s="1">
        <f t="shared" si="0"/>
        <v>24</v>
      </c>
    </row>
    <row r="10" spans="3:13" x14ac:dyDescent="0.3">
      <c r="C10" s="1">
        <v>5</v>
      </c>
      <c r="D10" s="1">
        <f t="shared" si="1"/>
        <v>5</v>
      </c>
      <c r="E10" s="1">
        <f t="shared" si="0"/>
        <v>10</v>
      </c>
      <c r="F10" s="1">
        <f t="shared" si="0"/>
        <v>15</v>
      </c>
      <c r="G10" s="1">
        <f t="shared" si="0"/>
        <v>20</v>
      </c>
      <c r="H10" s="1">
        <f t="shared" si="0"/>
        <v>25</v>
      </c>
      <c r="I10" s="1">
        <f t="shared" si="0"/>
        <v>30</v>
      </c>
    </row>
    <row r="11" spans="3:13" x14ac:dyDescent="0.3">
      <c r="C11" s="1">
        <v>6</v>
      </c>
      <c r="D11" s="1">
        <f t="shared" si="1"/>
        <v>6</v>
      </c>
      <c r="E11" s="1">
        <f t="shared" si="0"/>
        <v>12</v>
      </c>
      <c r="F11" s="1">
        <f t="shared" si="0"/>
        <v>18</v>
      </c>
      <c r="G11" s="1">
        <f t="shared" si="0"/>
        <v>24</v>
      </c>
      <c r="H11" s="1">
        <f t="shared" si="0"/>
        <v>30</v>
      </c>
      <c r="I11" s="1">
        <f t="shared" si="0"/>
        <v>36</v>
      </c>
    </row>
    <row r="15" spans="3:13" x14ac:dyDescent="0.3">
      <c r="C15" s="1" t="s">
        <v>1</v>
      </c>
      <c r="D15" s="1" t="s">
        <v>2</v>
      </c>
      <c r="E15" s="1" t="s">
        <v>3</v>
      </c>
      <c r="F15" s="1" t="s">
        <v>4</v>
      </c>
      <c r="G15" s="1" t="s">
        <v>5</v>
      </c>
      <c r="H15" s="1" t="s">
        <v>6</v>
      </c>
      <c r="I15" s="1" t="s">
        <v>7</v>
      </c>
      <c r="J15" s="1" t="s">
        <v>8</v>
      </c>
      <c r="K15" s="1" t="s">
        <v>9</v>
      </c>
      <c r="L15" s="1" t="s">
        <v>10</v>
      </c>
      <c r="M15" s="1" t="s">
        <v>16</v>
      </c>
    </row>
    <row r="16" spans="3:13" x14ac:dyDescent="0.3">
      <c r="C16" s="1" t="s">
        <v>11</v>
      </c>
      <c r="D16" s="1">
        <v>20</v>
      </c>
      <c r="E16" s="1">
        <v>66</v>
      </c>
      <c r="F16" s="1">
        <v>66</v>
      </c>
      <c r="G16" s="1">
        <v>66</v>
      </c>
      <c r="H16" s="1">
        <f>SUM(D16:G16)</f>
        <v>218</v>
      </c>
      <c r="I16" s="1">
        <f>AVERAGE(D16:G16)</f>
        <v>54.5</v>
      </c>
      <c r="J16" s="1">
        <f>MIN(C16:G16)</f>
        <v>20</v>
      </c>
      <c r="K16" s="1">
        <f>MAX(C16:G16)</f>
        <v>66</v>
      </c>
      <c r="L16" s="1">
        <f>COUNT(C16:G16)</f>
        <v>4</v>
      </c>
      <c r="M16" s="1">
        <f>COUNTA(D16:G16)</f>
        <v>4</v>
      </c>
    </row>
    <row r="17" spans="3:14" x14ac:dyDescent="0.3">
      <c r="C17" s="1" t="s">
        <v>12</v>
      </c>
      <c r="D17" s="1">
        <v>30</v>
      </c>
      <c r="E17" s="1">
        <v>31</v>
      </c>
      <c r="F17" s="1">
        <v>70</v>
      </c>
      <c r="G17" s="1">
        <v>71</v>
      </c>
      <c r="H17" s="1">
        <f t="shared" ref="H17:H20" si="2">SUM(D17:G17)</f>
        <v>202</v>
      </c>
      <c r="I17" s="1">
        <f t="shared" ref="I17:I20" si="3">AVERAGE(D17:G17)</f>
        <v>50.5</v>
      </c>
      <c r="J17" s="1">
        <f t="shared" ref="J17:J20" si="4">MIN(C17:G17)</f>
        <v>30</v>
      </c>
      <c r="K17" s="1">
        <f t="shared" ref="K17:K20" si="5">MAX(C17:G17)</f>
        <v>71</v>
      </c>
      <c r="L17" s="1">
        <f t="shared" ref="L17:L20" si="6">COUNT(C17:G17)</f>
        <v>4</v>
      </c>
      <c r="M17" s="1">
        <f t="shared" ref="M17:M20" si="7">COUNTA(D17:G17)</f>
        <v>4</v>
      </c>
    </row>
    <row r="18" spans="3:14" x14ac:dyDescent="0.3">
      <c r="C18" s="1" t="s">
        <v>13</v>
      </c>
      <c r="D18" s="1">
        <v>40</v>
      </c>
      <c r="E18" s="1">
        <v>32</v>
      </c>
      <c r="F18" s="1">
        <v>50</v>
      </c>
      <c r="G18" s="1">
        <v>80</v>
      </c>
      <c r="H18" s="1">
        <f t="shared" si="2"/>
        <v>202</v>
      </c>
      <c r="I18" s="1">
        <f t="shared" si="3"/>
        <v>50.5</v>
      </c>
      <c r="J18" s="1">
        <f t="shared" si="4"/>
        <v>32</v>
      </c>
      <c r="K18" s="1">
        <f t="shared" si="5"/>
        <v>80</v>
      </c>
      <c r="L18" s="1">
        <f t="shared" si="6"/>
        <v>4</v>
      </c>
      <c r="M18" s="1">
        <f t="shared" si="7"/>
        <v>4</v>
      </c>
    </row>
    <row r="19" spans="3:14" x14ac:dyDescent="0.3">
      <c r="C19" s="1" t="s">
        <v>14</v>
      </c>
      <c r="D19" s="1">
        <v>50</v>
      </c>
      <c r="E19" s="1">
        <v>33</v>
      </c>
      <c r="F19" s="1">
        <v>51</v>
      </c>
      <c r="G19" s="1">
        <v>51</v>
      </c>
      <c r="H19" s="1">
        <f t="shared" si="2"/>
        <v>185</v>
      </c>
      <c r="I19" s="1">
        <f t="shared" si="3"/>
        <v>46.25</v>
      </c>
      <c r="J19" s="1">
        <f t="shared" si="4"/>
        <v>33</v>
      </c>
      <c r="K19" s="1">
        <f t="shared" si="5"/>
        <v>51</v>
      </c>
      <c r="L19" s="1">
        <f t="shared" si="6"/>
        <v>4</v>
      </c>
      <c r="M19" s="1">
        <f t="shared" si="7"/>
        <v>4</v>
      </c>
    </row>
    <row r="20" spans="3:14" x14ac:dyDescent="0.3">
      <c r="C20" s="1" t="s">
        <v>15</v>
      </c>
      <c r="D20" s="1">
        <v>60</v>
      </c>
      <c r="E20" s="1">
        <v>34</v>
      </c>
      <c r="F20" s="1">
        <v>52</v>
      </c>
      <c r="G20" s="1">
        <v>50</v>
      </c>
      <c r="H20" s="1">
        <f t="shared" si="2"/>
        <v>196</v>
      </c>
      <c r="I20" s="1">
        <f t="shared" si="3"/>
        <v>49</v>
      </c>
      <c r="J20" s="1">
        <f t="shared" si="4"/>
        <v>34</v>
      </c>
      <c r="K20" s="1">
        <f t="shared" si="5"/>
        <v>60</v>
      </c>
      <c r="L20" s="1">
        <f t="shared" si="6"/>
        <v>4</v>
      </c>
      <c r="M20" s="1">
        <f t="shared" si="7"/>
        <v>4</v>
      </c>
    </row>
    <row r="23" spans="3:14" x14ac:dyDescent="0.3">
      <c r="C23" s="2" t="s">
        <v>1</v>
      </c>
      <c r="D23" s="2" t="s">
        <v>2</v>
      </c>
      <c r="E23" s="2" t="s">
        <v>3</v>
      </c>
      <c r="F23" s="2" t="s">
        <v>4</v>
      </c>
      <c r="G23" s="2" t="s">
        <v>17</v>
      </c>
      <c r="H23" s="2" t="s">
        <v>18</v>
      </c>
      <c r="I23" s="2" t="s">
        <v>19</v>
      </c>
      <c r="J23" s="2" t="s">
        <v>22</v>
      </c>
      <c r="K23" s="2" t="s">
        <v>21</v>
      </c>
      <c r="L23" s="2" t="s">
        <v>23</v>
      </c>
      <c r="M23" s="2" t="s">
        <v>7</v>
      </c>
      <c r="N23" s="2" t="s">
        <v>20</v>
      </c>
    </row>
    <row r="24" spans="3:14" x14ac:dyDescent="0.3">
      <c r="C24" s="2" t="s">
        <v>11</v>
      </c>
      <c r="D24" s="2">
        <v>30</v>
      </c>
      <c r="E24" s="2">
        <v>35</v>
      </c>
      <c r="F24" s="2">
        <v>28</v>
      </c>
      <c r="G24" s="2" t="b">
        <f>OR(D24&gt;40,E24&gt;40,F24&gt;40)</f>
        <v>0</v>
      </c>
      <c r="H24" s="2" t="b">
        <f>AND(D24&gt;30,E24&gt;30,F24&gt;30)</f>
        <v>0</v>
      </c>
      <c r="I24" s="2" t="b">
        <f>NOT(H24)</f>
        <v>1</v>
      </c>
      <c r="J24" s="2" t="str">
        <f>IF(D24&gt;30,"PASS","FAIL")</f>
        <v>FAIL</v>
      </c>
      <c r="K24" s="2" t="str">
        <f>IF(AND(D24&gt;35,E24&gt;35,F24&gt;35),"PASS","FAIL")</f>
        <v>FAIL</v>
      </c>
      <c r="L24" s="2" t="str">
        <f>IF(OR(D24&gt;40,E24&gt;40,F24&gt;40),"PASS","FAIL")</f>
        <v>FAIL</v>
      </c>
      <c r="M24" s="3">
        <f>AVERAGE(D24:F24)</f>
        <v>31</v>
      </c>
      <c r="N24" s="2" t="str">
        <f>IF(M24&gt;50,"A",IF(M24&gt;40,"B",IF(M24&gt;30,"C","D")))</f>
        <v>C</v>
      </c>
    </row>
    <row r="25" spans="3:14" x14ac:dyDescent="0.3">
      <c r="C25" s="2" t="s">
        <v>12</v>
      </c>
      <c r="D25" s="2">
        <v>35</v>
      </c>
      <c r="E25" s="2">
        <v>40</v>
      </c>
      <c r="F25" s="2">
        <v>30</v>
      </c>
      <c r="G25" s="2" t="b">
        <f t="shared" ref="G25:G28" si="8">OR(D25&gt;40,E25&gt;40,F25&gt;40)</f>
        <v>0</v>
      </c>
      <c r="H25" s="2" t="b">
        <f t="shared" ref="H25:H28" si="9">AND(D25&gt;30,E25&gt;30,F25&gt;30)</f>
        <v>0</v>
      </c>
      <c r="I25" s="2" t="b">
        <f t="shared" ref="I25:I28" si="10">NOT(H25)</f>
        <v>1</v>
      </c>
      <c r="J25" s="2" t="str">
        <f t="shared" ref="J25:J27" si="11">IF(D25&gt;30,"PASS","FAIL")</f>
        <v>PASS</v>
      </c>
      <c r="K25" s="2" t="str">
        <f t="shared" ref="K25:K28" si="12">IF(AND(D25&gt;35,E25&gt;35,F25&gt;35),"PASS","FAIL")</f>
        <v>FAIL</v>
      </c>
      <c r="L25" s="2" t="str">
        <f t="shared" ref="L25:L28" si="13">IF(OR(D25&gt;40,E25&gt;40,F25&gt;40),"PASS","FAIL")</f>
        <v>FAIL</v>
      </c>
      <c r="M25" s="3">
        <f t="shared" ref="M25:M28" si="14">AVERAGE(D25:F25)</f>
        <v>35</v>
      </c>
      <c r="N25" s="2" t="str">
        <f t="shared" ref="N25:N28" si="15">IF(M25&gt;50,"A",IF(M25&gt;40,"B",IF(M25&gt;30,"C","D")))</f>
        <v>C</v>
      </c>
    </row>
    <row r="26" spans="3:14" x14ac:dyDescent="0.3">
      <c r="C26" s="2" t="s">
        <v>13</v>
      </c>
      <c r="D26" s="2">
        <v>40</v>
      </c>
      <c r="E26" s="2">
        <v>30</v>
      </c>
      <c r="F26" s="2">
        <v>47</v>
      </c>
      <c r="G26" s="2" t="b">
        <f t="shared" si="8"/>
        <v>1</v>
      </c>
      <c r="H26" s="2" t="b">
        <f t="shared" si="9"/>
        <v>0</v>
      </c>
      <c r="I26" s="2" t="b">
        <f t="shared" si="10"/>
        <v>1</v>
      </c>
      <c r="J26" s="2" t="str">
        <f t="shared" si="11"/>
        <v>PASS</v>
      </c>
      <c r="K26" s="2" t="str">
        <f t="shared" si="12"/>
        <v>FAIL</v>
      </c>
      <c r="L26" s="2" t="str">
        <f t="shared" si="13"/>
        <v>PASS</v>
      </c>
      <c r="M26" s="3">
        <f t="shared" si="14"/>
        <v>39</v>
      </c>
      <c r="N26" s="2" t="str">
        <f t="shared" si="15"/>
        <v>C</v>
      </c>
    </row>
    <row r="27" spans="3:14" x14ac:dyDescent="0.3">
      <c r="C27" s="2" t="s">
        <v>14</v>
      </c>
      <c r="D27" s="2">
        <v>45</v>
      </c>
      <c r="E27" s="2">
        <v>34</v>
      </c>
      <c r="F27" s="2">
        <v>45</v>
      </c>
      <c r="G27" s="2" t="b">
        <f t="shared" si="8"/>
        <v>1</v>
      </c>
      <c r="H27" s="2" t="b">
        <f t="shared" si="9"/>
        <v>1</v>
      </c>
      <c r="I27" s="2" t="b">
        <f t="shared" si="10"/>
        <v>0</v>
      </c>
      <c r="J27" s="2" t="str">
        <f t="shared" si="11"/>
        <v>PASS</v>
      </c>
      <c r="K27" s="2" t="str">
        <f t="shared" si="12"/>
        <v>FAIL</v>
      </c>
      <c r="L27" s="2" t="str">
        <f t="shared" si="13"/>
        <v>PASS</v>
      </c>
      <c r="M27" s="3">
        <f t="shared" si="14"/>
        <v>41.333333333333336</v>
      </c>
      <c r="N27" s="2" t="str">
        <f t="shared" si="15"/>
        <v>B</v>
      </c>
    </row>
    <row r="28" spans="3:14" x14ac:dyDescent="0.3">
      <c r="C28" s="2" t="s">
        <v>15</v>
      </c>
      <c r="D28" s="2">
        <v>50</v>
      </c>
      <c r="E28" s="2">
        <v>45</v>
      </c>
      <c r="F28" s="2">
        <v>57</v>
      </c>
      <c r="G28" s="2" t="b">
        <f t="shared" si="8"/>
        <v>1</v>
      </c>
      <c r="H28" s="2" t="b">
        <f t="shared" si="9"/>
        <v>1</v>
      </c>
      <c r="I28" s="2" t="b">
        <f t="shared" si="10"/>
        <v>0</v>
      </c>
      <c r="J28" s="2" t="str">
        <f>IF(D28&gt;30,"PASS","FAIL")</f>
        <v>PASS</v>
      </c>
      <c r="K28" s="2" t="str">
        <f t="shared" si="12"/>
        <v>PASS</v>
      </c>
      <c r="L28" s="2" t="str">
        <f t="shared" si="13"/>
        <v>PASS</v>
      </c>
      <c r="M28" s="3">
        <f t="shared" si="14"/>
        <v>50.666666666666664</v>
      </c>
      <c r="N28" s="2" t="str">
        <f t="shared" si="15"/>
        <v>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chaganti</dc:creator>
  <cp:lastModifiedBy>uday chaganti</cp:lastModifiedBy>
  <dcterms:created xsi:type="dcterms:W3CDTF">2026-06-03T05:44:06Z</dcterms:created>
  <dcterms:modified xsi:type="dcterms:W3CDTF">2026-06-03T07:08:40Z</dcterms:modified>
</cp:coreProperties>
</file>