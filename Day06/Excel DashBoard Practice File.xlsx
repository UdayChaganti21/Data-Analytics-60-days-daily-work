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ASUS\Downloads\"/>
    </mc:Choice>
  </mc:AlternateContent>
  <xr:revisionPtr revIDLastSave="0" documentId="13_ncr:1_{58B7C154-F43C-4155-AA88-ACDAE1848492}" xr6:coauthVersionLast="47" xr6:coauthVersionMax="47" xr10:uidLastSave="{00000000-0000-0000-0000-000000000000}"/>
  <bookViews>
    <workbookView xWindow="-108" yWindow="-108" windowWidth="23256" windowHeight="12456" activeTab="1" xr2:uid="{80B590A0-26F3-4C00-B82F-AB5BC9851E2A}"/>
  </bookViews>
  <sheets>
    <sheet name="Master Data" sheetId="1" r:id="rId1"/>
    <sheet name="Dashboard" sheetId="2" r:id="rId2"/>
    <sheet name="Detail1" sheetId="6" r:id="rId3"/>
    <sheet name="Detail2" sheetId="7" r:id="rId4"/>
    <sheet name="Pivot tables" sheetId="3" r:id="rId5"/>
    <sheet name="Sheet4" sheetId="4" r:id="rId6"/>
    <sheet name="Sheet5" sheetId="5" r:id="rId7"/>
  </sheets>
  <definedNames>
    <definedName name="NativeTimeline_Date">#N/A</definedName>
    <definedName name="Slicer_Place">#N/A</definedName>
    <definedName name="Slicer_Products">#N/A</definedName>
  </definedNames>
  <calcPr calcId="191029"/>
  <pivotCaches>
    <pivotCache cacheId="8"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9" i="1" l="1"/>
  <c r="G278" i="1"/>
  <c r="G277" i="1"/>
  <c r="G276" i="1"/>
  <c r="G275" i="1"/>
  <c r="G274" i="1"/>
  <c r="G273" i="1"/>
  <c r="G272" i="1"/>
  <c r="G271" i="1"/>
  <c r="G270" i="1"/>
  <c r="G269" i="1"/>
  <c r="G268" i="1"/>
  <c r="G267" i="1"/>
  <c r="G266" i="1"/>
  <c r="G265" i="1"/>
  <c r="G264" i="1"/>
  <c r="G263" i="1"/>
  <c r="G262" i="1"/>
  <c r="G261" i="1"/>
  <c r="G260" i="1"/>
  <c r="G259" i="1"/>
  <c r="G258" i="1"/>
  <c r="G257" i="1"/>
  <c r="G256" i="1"/>
  <c r="G255" i="1"/>
  <c r="G254" i="1"/>
  <c r="G253" i="1"/>
  <c r="G252" i="1"/>
  <c r="G251" i="1"/>
  <c r="G250" i="1"/>
  <c r="G249" i="1"/>
  <c r="G248" i="1"/>
  <c r="G247" i="1"/>
  <c r="G246" i="1"/>
  <c r="G245" i="1"/>
  <c r="G244" i="1"/>
  <c r="G243" i="1"/>
  <c r="G242" i="1"/>
  <c r="G241" i="1"/>
  <c r="G240" i="1"/>
  <c r="G239" i="1"/>
  <c r="G238" i="1"/>
  <c r="G237" i="1"/>
  <c r="G236" i="1"/>
  <c r="G235" i="1"/>
  <c r="G234" i="1"/>
  <c r="G233" i="1"/>
  <c r="G232" i="1"/>
  <c r="G231" i="1"/>
  <c r="G230" i="1"/>
  <c r="G229" i="1"/>
  <c r="G228" i="1"/>
  <c r="G227" i="1"/>
  <c r="G226" i="1"/>
  <c r="G225" i="1"/>
  <c r="G224" i="1"/>
  <c r="G223" i="1"/>
  <c r="G222" i="1"/>
  <c r="G221" i="1"/>
  <c r="G220" i="1"/>
  <c r="G219" i="1"/>
  <c r="G218" i="1"/>
  <c r="G217" i="1"/>
  <c r="G216" i="1"/>
  <c r="G215" i="1"/>
  <c r="G214" i="1"/>
  <c r="G213" i="1"/>
  <c r="G212" i="1"/>
  <c r="G211" i="1"/>
  <c r="G210" i="1"/>
  <c r="G209" i="1"/>
  <c r="G208" i="1"/>
  <c r="G207" i="1"/>
  <c r="G206" i="1"/>
  <c r="G205" i="1"/>
  <c r="G204" i="1"/>
  <c r="G203" i="1"/>
  <c r="G202" i="1"/>
  <c r="G201" i="1"/>
  <c r="G200" i="1"/>
  <c r="G199" i="1"/>
  <c r="G198" i="1"/>
  <c r="G197" i="1"/>
  <c r="G196" i="1"/>
  <c r="G195" i="1"/>
  <c r="G194" i="1"/>
  <c r="G193" i="1"/>
  <c r="G192" i="1"/>
  <c r="G191" i="1"/>
  <c r="G190" i="1"/>
  <c r="G189" i="1"/>
  <c r="G188" i="1"/>
  <c r="G187" i="1"/>
  <c r="G186" i="1"/>
  <c r="G185" i="1"/>
  <c r="G184" i="1"/>
  <c r="G183" i="1"/>
  <c r="G182" i="1"/>
  <c r="G181" i="1"/>
  <c r="G180" i="1"/>
  <c r="G179" i="1"/>
  <c r="G178" i="1"/>
  <c r="G177" i="1"/>
  <c r="G176" i="1"/>
  <c r="G175" i="1"/>
  <c r="G174" i="1"/>
  <c r="G173" i="1"/>
  <c r="G172" i="1"/>
  <c r="G171" i="1"/>
  <c r="G170" i="1"/>
  <c r="G169" i="1"/>
  <c r="G168" i="1"/>
  <c r="G167" i="1"/>
  <c r="G166" i="1"/>
  <c r="G165" i="1"/>
  <c r="G164" i="1"/>
  <c r="G163" i="1"/>
  <c r="G162" i="1"/>
  <c r="G161" i="1"/>
  <c r="G160" i="1"/>
  <c r="G159" i="1"/>
  <c r="G158" i="1"/>
  <c r="G157" i="1"/>
  <c r="G156" i="1"/>
  <c r="G155" i="1"/>
  <c r="G154" i="1"/>
  <c r="G153" i="1"/>
  <c r="G152" i="1"/>
  <c r="G151" i="1"/>
  <c r="G150" i="1"/>
  <c r="G149" i="1"/>
  <c r="G148" i="1"/>
  <c r="G147" i="1"/>
  <c r="G146" i="1"/>
  <c r="G145" i="1"/>
  <c r="G144" i="1"/>
  <c r="G143" i="1"/>
  <c r="G142" i="1"/>
  <c r="G141" i="1"/>
  <c r="G140" i="1"/>
  <c r="G139" i="1"/>
  <c r="G138" i="1"/>
  <c r="G137" i="1"/>
  <c r="G136" i="1"/>
  <c r="G135" i="1"/>
  <c r="G134" i="1"/>
  <c r="G133" i="1"/>
  <c r="G132" i="1"/>
  <c r="G131" i="1"/>
  <c r="G130" i="1"/>
  <c r="G129" i="1"/>
  <c r="G128" i="1"/>
  <c r="G127" i="1"/>
  <c r="G126" i="1"/>
  <c r="G125" i="1"/>
  <c r="G124" i="1"/>
  <c r="G123" i="1"/>
  <c r="G122" i="1"/>
  <c r="G121" i="1"/>
  <c r="G120" i="1"/>
  <c r="G119" i="1"/>
  <c r="G118" i="1"/>
  <c r="G117" i="1"/>
  <c r="G116" i="1"/>
  <c r="G115" i="1"/>
  <c r="G114" i="1"/>
  <c r="G113" i="1"/>
  <c r="G112" i="1"/>
  <c r="G111" i="1"/>
  <c r="G110" i="1"/>
  <c r="G109" i="1"/>
  <c r="G108" i="1"/>
  <c r="G107" i="1"/>
  <c r="G106" i="1"/>
  <c r="G105" i="1"/>
  <c r="G104" i="1"/>
  <c r="G103" i="1"/>
  <c r="G102" i="1"/>
  <c r="G101" i="1"/>
  <c r="G100" i="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1"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G3" i="1"/>
  <c r="G2" i="1"/>
</calcChain>
</file>

<file path=xl/sharedStrings.xml><?xml version="1.0" encoding="utf-8"?>
<sst xmlns="http://schemas.openxmlformats.org/spreadsheetml/2006/main" count="925" uniqueCount="32">
  <si>
    <t>Date</t>
  </si>
  <si>
    <t>Sales Persons</t>
  </si>
  <si>
    <t>Products</t>
  </si>
  <si>
    <t>Place</t>
  </si>
  <si>
    <t>Price</t>
  </si>
  <si>
    <t>Units</t>
  </si>
  <si>
    <t>Amount</t>
  </si>
  <si>
    <t>Ramesh</t>
  </si>
  <si>
    <t>Furniture</t>
  </si>
  <si>
    <t>Guntur</t>
  </si>
  <si>
    <t>Kiran</t>
  </si>
  <si>
    <t>Vijayawada</t>
  </si>
  <si>
    <t>Gopi</t>
  </si>
  <si>
    <t>LED TV's</t>
  </si>
  <si>
    <t>Bapatla</t>
  </si>
  <si>
    <t>Mahesh</t>
  </si>
  <si>
    <t>4K LED TV's</t>
  </si>
  <si>
    <t>Mobiles</t>
  </si>
  <si>
    <t>Tenali</t>
  </si>
  <si>
    <t>Ganesh</t>
  </si>
  <si>
    <t>Laptops</t>
  </si>
  <si>
    <t>Chirala</t>
  </si>
  <si>
    <t>Speakers</t>
  </si>
  <si>
    <t>Prathap</t>
  </si>
  <si>
    <t>Ongole</t>
  </si>
  <si>
    <t>Row Labels</t>
  </si>
  <si>
    <t>Grand Total</t>
  </si>
  <si>
    <t>Sum of Amount</t>
  </si>
  <si>
    <t>Apr</t>
  </si>
  <si>
    <t>Details for Sum of Amount</t>
  </si>
  <si>
    <t>Sum of Units</t>
  </si>
  <si>
    <t>Details for Sum of Units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</si>
</sst>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4"/>
      <color rgb="FFFF0000"/>
      <name val="Aptos Narrow"/>
      <family val="2"/>
      <scheme val="minor"/>
    </font>
    <font>
      <b/>
      <sz val="12"/>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theme="4" tint="0.39997558519241921"/>
      </bottom>
      <diagonal/>
    </border>
  </borders>
  <cellStyleXfs count="1">
    <xf numFmtId="0" fontId="0" fillId="0" borderId="0"/>
  </cellStyleXfs>
  <cellXfs count="18">
    <xf numFmtId="0" fontId="0" fillId="0" borderId="0" xfId="0"/>
    <xf numFmtId="0" fontId="1" fillId="2" borderId="1" xfId="0" applyFont="1" applyFill="1" applyBorder="1" applyAlignment="1">
      <alignment horizontal="left"/>
    </xf>
    <xf numFmtId="0" fontId="1" fillId="2" borderId="1" xfId="0" applyFont="1" applyFill="1" applyBorder="1"/>
    <xf numFmtId="14" fontId="2" fillId="3" borderId="1" xfId="0" applyNumberFormat="1" applyFont="1" applyFill="1" applyBorder="1" applyAlignment="1">
      <alignment horizontal="left"/>
    </xf>
    <xf numFmtId="0" fontId="2" fillId="3" borderId="1" xfId="0" applyFont="1" applyFill="1" applyBorder="1"/>
    <xf numFmtId="3" fontId="2" fillId="3" borderId="1" xfId="0" applyNumberFormat="1" applyFont="1" applyFill="1" applyBorder="1"/>
    <xf numFmtId="14" fontId="2" fillId="0" borderId="1" xfId="0" applyNumberFormat="1" applyFont="1" applyBorder="1" applyAlignment="1">
      <alignment horizontal="left"/>
    </xf>
    <xf numFmtId="0" fontId="2" fillId="0" borderId="1" xfId="0" applyFont="1" applyBorder="1"/>
    <xf numFmtId="3" fontId="2" fillId="0" borderId="1" xfId="0" applyNumberFormat="1" applyFont="1" applyBorder="1"/>
    <xf numFmtId="14" fontId="2" fillId="0" borderId="2" xfId="0" applyNumberFormat="1" applyFont="1" applyBorder="1" applyAlignment="1">
      <alignment horizontal="left"/>
    </xf>
    <xf numFmtId="0" fontId="2" fillId="0" borderId="2" xfId="0" applyFont="1" applyBorder="1"/>
    <xf numFmtId="3" fontId="2" fillId="0" borderId="2" xfId="0" applyNumberFormat="1" applyFont="1" applyBorder="1"/>
    <xf numFmtId="0" fontId="0" fillId="0" borderId="0" xfId="0" pivotButton="1"/>
    <xf numFmtId="0" fontId="0" fillId="0" borderId="0" xfId="0" applyAlignment="1">
      <alignment horizontal="left"/>
    </xf>
    <xf numFmtId="3" fontId="0" fillId="0" borderId="0" xfId="0" applyNumberFormat="1"/>
    <xf numFmtId="14" fontId="0" fillId="0" borderId="0" xfId="0" applyNumberFormat="1"/>
    <xf numFmtId="0" fontId="3" fillId="0" borderId="0" xfId="0" applyFont="1"/>
    <xf numFmtId="0" fontId="0" fillId="0" borderId="0" xfId="0" applyNumberFormat="1"/>
  </cellXfs>
  <cellStyles count="1">
    <cellStyle name="Normal" xfId="0" builtinId="0"/>
  </cellStyles>
  <dxfs count="2">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Practice File.xlsx]Pivot tables!PivotTable2</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tables'!$B$18</c:f>
              <c:strCache>
                <c:ptCount val="1"/>
                <c:pt idx="0">
                  <c:v>Total</c:v>
                </c:pt>
              </c:strCache>
            </c:strRef>
          </c:tx>
          <c:spPr>
            <a:ln w="28575" cap="rnd">
              <a:solidFill>
                <a:schemeClr val="accent1"/>
              </a:solidFill>
              <a:round/>
            </a:ln>
            <a:effectLst/>
          </c:spPr>
          <c:marker>
            <c:symbol val="none"/>
          </c:marker>
          <c:cat>
            <c:strRef>
              <c:f>'Pivot tables'!$A$19:$A$20</c:f>
              <c:strCache>
                <c:ptCount val="1"/>
                <c:pt idx="0">
                  <c:v>Apr</c:v>
                </c:pt>
              </c:strCache>
            </c:strRef>
          </c:cat>
          <c:val>
            <c:numRef>
              <c:f>'Pivot tables'!$B$19:$B$20</c:f>
              <c:numCache>
                <c:formatCode>#,##0</c:formatCode>
                <c:ptCount val="1"/>
                <c:pt idx="0">
                  <c:v>1004260</c:v>
                </c:pt>
              </c:numCache>
            </c:numRef>
          </c:val>
          <c:smooth val="0"/>
          <c:extLst>
            <c:ext xmlns:c16="http://schemas.microsoft.com/office/drawing/2014/chart" uri="{C3380CC4-5D6E-409C-BE32-E72D297353CC}">
              <c16:uniqueId val="{00000000-AA66-4A22-B2E3-929225017727}"/>
            </c:ext>
          </c:extLst>
        </c:ser>
        <c:dLbls>
          <c:showLegendKey val="0"/>
          <c:showVal val="0"/>
          <c:showCatName val="0"/>
          <c:showSerName val="0"/>
          <c:showPercent val="0"/>
          <c:showBubbleSize val="0"/>
        </c:dLbls>
        <c:smooth val="0"/>
        <c:axId val="985837904"/>
        <c:axId val="985838384"/>
      </c:lineChart>
      <c:catAx>
        <c:axId val="985837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838384"/>
        <c:crosses val="autoZero"/>
        <c:auto val="1"/>
        <c:lblAlgn val="ctr"/>
        <c:lblOffset val="100"/>
        <c:noMultiLvlLbl val="0"/>
      </c:catAx>
      <c:valAx>
        <c:axId val="985838384"/>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98583790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Practice File.xlsx]Pivot tables!PivotTable3</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tables'!$B$34</c:f>
              <c:strCache>
                <c:ptCount val="1"/>
                <c:pt idx="0">
                  <c:v>Total</c:v>
                </c:pt>
              </c:strCache>
            </c:strRef>
          </c:tx>
          <c:spPr>
            <a:solidFill>
              <a:schemeClr val="accent1"/>
            </a:solidFill>
            <a:ln>
              <a:noFill/>
            </a:ln>
            <a:effectLst/>
          </c:spPr>
          <c:invertIfNegative val="0"/>
          <c:cat>
            <c:strRef>
              <c:f>'Pivot tables'!$A$35:$A$39</c:f>
              <c:strCache>
                <c:ptCount val="4"/>
                <c:pt idx="0">
                  <c:v>Bapatla</c:v>
                </c:pt>
                <c:pt idx="1">
                  <c:v>Guntur</c:v>
                </c:pt>
                <c:pt idx="2">
                  <c:v>Ongole</c:v>
                </c:pt>
                <c:pt idx="3">
                  <c:v>Tenali</c:v>
                </c:pt>
              </c:strCache>
            </c:strRef>
          </c:cat>
          <c:val>
            <c:numRef>
              <c:f>'Pivot tables'!$B$35:$B$39</c:f>
              <c:numCache>
                <c:formatCode>#,##0</c:formatCode>
                <c:ptCount val="4"/>
                <c:pt idx="0">
                  <c:v>41071</c:v>
                </c:pt>
                <c:pt idx="1">
                  <c:v>13750</c:v>
                </c:pt>
                <c:pt idx="2">
                  <c:v>201564</c:v>
                </c:pt>
                <c:pt idx="3">
                  <c:v>747875</c:v>
                </c:pt>
              </c:numCache>
            </c:numRef>
          </c:val>
          <c:extLst>
            <c:ext xmlns:c16="http://schemas.microsoft.com/office/drawing/2014/chart" uri="{C3380CC4-5D6E-409C-BE32-E72D297353CC}">
              <c16:uniqueId val="{00000000-983E-4613-9EDA-6CF337C7846D}"/>
            </c:ext>
          </c:extLst>
        </c:ser>
        <c:dLbls>
          <c:showLegendKey val="0"/>
          <c:showVal val="0"/>
          <c:showCatName val="0"/>
          <c:showSerName val="0"/>
          <c:showPercent val="0"/>
          <c:showBubbleSize val="0"/>
        </c:dLbls>
        <c:gapWidth val="219"/>
        <c:overlap val="-27"/>
        <c:axId val="750594576"/>
        <c:axId val="750587376"/>
      </c:barChart>
      <c:catAx>
        <c:axId val="750594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587376"/>
        <c:crosses val="autoZero"/>
        <c:auto val="1"/>
        <c:lblAlgn val="ctr"/>
        <c:lblOffset val="100"/>
        <c:noMultiLvlLbl val="0"/>
      </c:catAx>
      <c:valAx>
        <c:axId val="7505873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594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Practice File.xlsx]Pivot tables!PivotTable4</c:name>
    <c:fmtId val="2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'Pivot tables'!$B$45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709-4B11-86F2-3EDFDC3CE88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709-4B11-86F2-3EDFDC3CE88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709-4B11-86F2-3EDFDC3CE88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709-4B11-86F2-3EDFDC3CE88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709-4B11-86F2-3EDFDC3CE88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709-4B11-86F2-3EDFDC3CE88F}"/>
              </c:ext>
            </c:extLst>
          </c:dPt>
          <c:cat>
            <c:strRef>
              <c:f>'Pivot tables'!$A$46:$A$52</c:f>
              <c:strCache>
                <c:ptCount val="6"/>
                <c:pt idx="0">
                  <c:v>4K LED TV's</c:v>
                </c:pt>
                <c:pt idx="1">
                  <c:v>Furniture</c:v>
                </c:pt>
                <c:pt idx="2">
                  <c:v>Laptops</c:v>
                </c:pt>
                <c:pt idx="3">
                  <c:v>LED TV's</c:v>
                </c:pt>
                <c:pt idx="4">
                  <c:v>Mobiles</c:v>
                </c:pt>
                <c:pt idx="5">
                  <c:v>Speakers</c:v>
                </c:pt>
              </c:strCache>
            </c:strRef>
          </c:cat>
          <c:val>
            <c:numRef>
              <c:f>'Pivot tables'!$B$46:$B$52</c:f>
              <c:numCache>
                <c:formatCode>#,##0</c:formatCode>
                <c:ptCount val="6"/>
                <c:pt idx="0">
                  <c:v>719991</c:v>
                </c:pt>
                <c:pt idx="1">
                  <c:v>216035</c:v>
                </c:pt>
                <c:pt idx="2">
                  <c:v>26600</c:v>
                </c:pt>
                <c:pt idx="3">
                  <c:v>13750</c:v>
                </c:pt>
                <c:pt idx="4">
                  <c:v>3900</c:v>
                </c:pt>
                <c:pt idx="5">
                  <c:v>23984</c:v>
                </c:pt>
              </c:numCache>
            </c:numRef>
          </c:val>
          <c:extLst>
            <c:ext xmlns:c16="http://schemas.microsoft.com/office/drawing/2014/chart" uri="{C3380CC4-5D6E-409C-BE32-E72D297353CC}">
              <c16:uniqueId val="{0000000C-9709-4B11-86F2-3EDFDC3CE88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Practice File.xlsx]Pivot tables!PivotTable1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tables'!$B$3</c:f>
              <c:strCache>
                <c:ptCount val="1"/>
                <c:pt idx="0">
                  <c:v>Total</c:v>
                </c:pt>
              </c:strCache>
            </c:strRef>
          </c:tx>
          <c:spPr>
            <a:ln w="28575" cap="rnd">
              <a:solidFill>
                <a:schemeClr val="accent1"/>
              </a:solidFill>
              <a:round/>
            </a:ln>
            <a:effectLst/>
          </c:spPr>
          <c:marker>
            <c:symbol val="none"/>
          </c:marker>
          <c:cat>
            <c:strRef>
              <c:f>'Pivot tables'!$A$4:$A$5</c:f>
              <c:strCache>
                <c:ptCount val="1"/>
                <c:pt idx="0">
                  <c:v>Apr</c:v>
                </c:pt>
              </c:strCache>
            </c:strRef>
          </c:cat>
          <c:val>
            <c:numRef>
              <c:f>'Pivot tables'!$B$4:$B$5</c:f>
              <c:numCache>
                <c:formatCode>#,##0</c:formatCode>
                <c:ptCount val="1"/>
                <c:pt idx="0">
                  <c:v>26600</c:v>
                </c:pt>
              </c:numCache>
            </c:numRef>
          </c:val>
          <c:smooth val="0"/>
          <c:extLst>
            <c:ext xmlns:c16="http://schemas.microsoft.com/office/drawing/2014/chart" uri="{C3380CC4-5D6E-409C-BE32-E72D297353CC}">
              <c16:uniqueId val="{00000004-F54E-44A8-9445-6477A6EB6984}"/>
            </c:ext>
          </c:extLst>
        </c:ser>
        <c:dLbls>
          <c:showLegendKey val="0"/>
          <c:showVal val="0"/>
          <c:showCatName val="0"/>
          <c:showSerName val="0"/>
          <c:showPercent val="0"/>
          <c:showBubbleSize val="0"/>
        </c:dLbls>
        <c:smooth val="0"/>
        <c:axId val="908562544"/>
        <c:axId val="908563504"/>
      </c:lineChart>
      <c:catAx>
        <c:axId val="908562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563504"/>
        <c:crosses val="autoZero"/>
        <c:auto val="1"/>
        <c:lblAlgn val="ctr"/>
        <c:lblOffset val="100"/>
        <c:noMultiLvlLbl val="0"/>
      </c:catAx>
      <c:valAx>
        <c:axId val="9085635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562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Practice File.xlsx]Pivot tables!PivotTable2</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tables'!$B$18</c:f>
              <c:strCache>
                <c:ptCount val="1"/>
                <c:pt idx="0">
                  <c:v>Total</c:v>
                </c:pt>
              </c:strCache>
            </c:strRef>
          </c:tx>
          <c:spPr>
            <a:ln w="28575" cap="rnd">
              <a:solidFill>
                <a:schemeClr val="accent1"/>
              </a:solidFill>
              <a:round/>
            </a:ln>
            <a:effectLst/>
          </c:spPr>
          <c:marker>
            <c:symbol val="none"/>
          </c:marker>
          <c:cat>
            <c:strRef>
              <c:f>'Pivot tables'!$A$19:$A$20</c:f>
              <c:strCache>
                <c:ptCount val="1"/>
                <c:pt idx="0">
                  <c:v>Apr</c:v>
                </c:pt>
              </c:strCache>
            </c:strRef>
          </c:cat>
          <c:val>
            <c:numRef>
              <c:f>'Pivot tables'!$B$19:$B$20</c:f>
              <c:numCache>
                <c:formatCode>#,##0</c:formatCode>
                <c:ptCount val="1"/>
                <c:pt idx="0">
                  <c:v>1004260</c:v>
                </c:pt>
              </c:numCache>
            </c:numRef>
          </c:val>
          <c:smooth val="0"/>
          <c:extLst>
            <c:ext xmlns:c16="http://schemas.microsoft.com/office/drawing/2014/chart" uri="{C3380CC4-5D6E-409C-BE32-E72D297353CC}">
              <c16:uniqueId val="{00000000-0EAC-49CC-9207-6EC320531538}"/>
            </c:ext>
          </c:extLst>
        </c:ser>
        <c:dLbls>
          <c:showLegendKey val="0"/>
          <c:showVal val="0"/>
          <c:showCatName val="0"/>
          <c:showSerName val="0"/>
          <c:showPercent val="0"/>
          <c:showBubbleSize val="0"/>
        </c:dLbls>
        <c:smooth val="0"/>
        <c:axId val="985837904"/>
        <c:axId val="985838384"/>
      </c:lineChart>
      <c:catAx>
        <c:axId val="985837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838384"/>
        <c:crosses val="autoZero"/>
        <c:auto val="1"/>
        <c:lblAlgn val="ctr"/>
        <c:lblOffset val="100"/>
        <c:noMultiLvlLbl val="0"/>
      </c:catAx>
      <c:valAx>
        <c:axId val="9858383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83790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Practice File.xlsx]Pivot tables!PivotTable3</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tables'!$B$34</c:f>
              <c:strCache>
                <c:ptCount val="1"/>
                <c:pt idx="0">
                  <c:v>Total</c:v>
                </c:pt>
              </c:strCache>
            </c:strRef>
          </c:tx>
          <c:spPr>
            <a:ln w="28575" cap="rnd">
              <a:solidFill>
                <a:schemeClr val="accent1"/>
              </a:solidFill>
              <a:round/>
            </a:ln>
            <a:effectLst/>
          </c:spPr>
          <c:marker>
            <c:symbol val="none"/>
          </c:marker>
          <c:cat>
            <c:strRef>
              <c:f>'Pivot tables'!$A$35:$A$39</c:f>
              <c:strCache>
                <c:ptCount val="4"/>
                <c:pt idx="0">
                  <c:v>Bapatla</c:v>
                </c:pt>
                <c:pt idx="1">
                  <c:v>Guntur</c:v>
                </c:pt>
                <c:pt idx="2">
                  <c:v>Ongole</c:v>
                </c:pt>
                <c:pt idx="3">
                  <c:v>Tenali</c:v>
                </c:pt>
              </c:strCache>
            </c:strRef>
          </c:cat>
          <c:val>
            <c:numRef>
              <c:f>'Pivot tables'!$B$35:$B$39</c:f>
              <c:numCache>
                <c:formatCode>#,##0</c:formatCode>
                <c:ptCount val="4"/>
                <c:pt idx="0">
                  <c:v>41071</c:v>
                </c:pt>
                <c:pt idx="1">
                  <c:v>13750</c:v>
                </c:pt>
                <c:pt idx="2">
                  <c:v>201564</c:v>
                </c:pt>
                <c:pt idx="3">
                  <c:v>747875</c:v>
                </c:pt>
              </c:numCache>
            </c:numRef>
          </c:val>
          <c:smooth val="0"/>
          <c:extLst>
            <c:ext xmlns:c16="http://schemas.microsoft.com/office/drawing/2014/chart" uri="{C3380CC4-5D6E-409C-BE32-E72D297353CC}">
              <c16:uniqueId val="{00000000-0F7C-4E1D-ADFB-D37BA409617B}"/>
            </c:ext>
          </c:extLst>
        </c:ser>
        <c:dLbls>
          <c:showLegendKey val="0"/>
          <c:showVal val="0"/>
          <c:showCatName val="0"/>
          <c:showSerName val="0"/>
          <c:showPercent val="0"/>
          <c:showBubbleSize val="0"/>
        </c:dLbls>
        <c:smooth val="0"/>
        <c:axId val="975969392"/>
        <c:axId val="975970352"/>
      </c:lineChart>
      <c:catAx>
        <c:axId val="975969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5970352"/>
        <c:crosses val="autoZero"/>
        <c:auto val="1"/>
        <c:lblAlgn val="ctr"/>
        <c:lblOffset val="100"/>
        <c:noMultiLvlLbl val="0"/>
      </c:catAx>
      <c:valAx>
        <c:axId val="9759703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596939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Practice File.xlsx]Pivot tables!PivotTable3</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tables'!$B$34</c:f>
              <c:strCache>
                <c:ptCount val="1"/>
                <c:pt idx="0">
                  <c:v>Total</c:v>
                </c:pt>
              </c:strCache>
            </c:strRef>
          </c:tx>
          <c:spPr>
            <a:solidFill>
              <a:schemeClr val="accent1"/>
            </a:solidFill>
            <a:ln>
              <a:noFill/>
            </a:ln>
            <a:effectLst/>
          </c:spPr>
          <c:invertIfNegative val="0"/>
          <c:cat>
            <c:strRef>
              <c:f>'Pivot tables'!$A$35:$A$39</c:f>
              <c:strCache>
                <c:ptCount val="4"/>
                <c:pt idx="0">
                  <c:v>Bapatla</c:v>
                </c:pt>
                <c:pt idx="1">
                  <c:v>Guntur</c:v>
                </c:pt>
                <c:pt idx="2">
                  <c:v>Ongole</c:v>
                </c:pt>
                <c:pt idx="3">
                  <c:v>Tenali</c:v>
                </c:pt>
              </c:strCache>
            </c:strRef>
          </c:cat>
          <c:val>
            <c:numRef>
              <c:f>'Pivot tables'!$B$35:$B$39</c:f>
              <c:numCache>
                <c:formatCode>#,##0</c:formatCode>
                <c:ptCount val="4"/>
                <c:pt idx="0">
                  <c:v>41071</c:v>
                </c:pt>
                <c:pt idx="1">
                  <c:v>13750</c:v>
                </c:pt>
                <c:pt idx="2">
                  <c:v>201564</c:v>
                </c:pt>
                <c:pt idx="3">
                  <c:v>747875</c:v>
                </c:pt>
              </c:numCache>
            </c:numRef>
          </c:val>
          <c:extLst>
            <c:ext xmlns:c16="http://schemas.microsoft.com/office/drawing/2014/chart" uri="{C3380CC4-5D6E-409C-BE32-E72D297353CC}">
              <c16:uniqueId val="{00000000-A9B9-4C04-8028-0B337F5A7428}"/>
            </c:ext>
          </c:extLst>
        </c:ser>
        <c:dLbls>
          <c:showLegendKey val="0"/>
          <c:showVal val="0"/>
          <c:showCatName val="0"/>
          <c:showSerName val="0"/>
          <c:showPercent val="0"/>
          <c:showBubbleSize val="0"/>
        </c:dLbls>
        <c:gapWidth val="219"/>
        <c:overlap val="-27"/>
        <c:axId val="750594576"/>
        <c:axId val="750587376"/>
      </c:barChart>
      <c:catAx>
        <c:axId val="750594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587376"/>
        <c:crosses val="autoZero"/>
        <c:auto val="1"/>
        <c:lblAlgn val="ctr"/>
        <c:lblOffset val="100"/>
        <c:noMultiLvlLbl val="0"/>
      </c:catAx>
      <c:valAx>
        <c:axId val="7505873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594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Practice File.xlsx]Pivot tables!PivotTable4</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tables'!$B$45</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cat>
            <c:strRef>
              <c:f>'Pivot tables'!$A$46:$A$52</c:f>
              <c:strCache>
                <c:ptCount val="6"/>
                <c:pt idx="0">
                  <c:v>4K LED TV's</c:v>
                </c:pt>
                <c:pt idx="1">
                  <c:v>Furniture</c:v>
                </c:pt>
                <c:pt idx="2">
                  <c:v>Laptops</c:v>
                </c:pt>
                <c:pt idx="3">
                  <c:v>LED TV's</c:v>
                </c:pt>
                <c:pt idx="4">
                  <c:v>Mobiles</c:v>
                </c:pt>
                <c:pt idx="5">
                  <c:v>Speakers</c:v>
                </c:pt>
              </c:strCache>
            </c:strRef>
          </c:cat>
          <c:val>
            <c:numRef>
              <c:f>'Pivot tables'!$B$46:$B$52</c:f>
              <c:numCache>
                <c:formatCode>#,##0</c:formatCode>
                <c:ptCount val="6"/>
                <c:pt idx="0">
                  <c:v>719991</c:v>
                </c:pt>
                <c:pt idx="1">
                  <c:v>216035</c:v>
                </c:pt>
                <c:pt idx="2">
                  <c:v>26600</c:v>
                </c:pt>
                <c:pt idx="3">
                  <c:v>13750</c:v>
                </c:pt>
                <c:pt idx="4">
                  <c:v>3900</c:v>
                </c:pt>
                <c:pt idx="5">
                  <c:v>23984</c:v>
                </c:pt>
              </c:numCache>
            </c:numRef>
          </c:val>
          <c:extLst>
            <c:ext xmlns:c16="http://schemas.microsoft.com/office/drawing/2014/chart" uri="{C3380CC4-5D6E-409C-BE32-E72D297353CC}">
              <c16:uniqueId val="{00000000-868F-4B52-BC28-F8D8B237AF0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image" Target="../media/image3.png"/><Relationship Id="rId7" Type="http://schemas.openxmlformats.org/officeDocument/2006/relationships/chart" Target="../charts/chart1.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8.emf"/><Relationship Id="rId5" Type="http://schemas.openxmlformats.org/officeDocument/2006/relationships/image" Target="../media/image5.png"/><Relationship Id="rId10" Type="http://schemas.openxmlformats.org/officeDocument/2006/relationships/image" Target="../media/image7.emf"/><Relationship Id="rId4" Type="http://schemas.openxmlformats.org/officeDocument/2006/relationships/image" Target="../media/image4.svg"/><Relationship Id="rId9"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68580</xdr:colOff>
      <xdr:row>0</xdr:row>
      <xdr:rowOff>68580</xdr:rowOff>
    </xdr:from>
    <xdr:to>
      <xdr:col>22</xdr:col>
      <xdr:colOff>601980</xdr:colOff>
      <xdr:row>31</xdr:row>
      <xdr:rowOff>76200</xdr:rowOff>
    </xdr:to>
    <xdr:sp macro="" textlink="">
      <xdr:nvSpPr>
        <xdr:cNvPr id="8" name="Rectangle: Rounded Corners 7">
          <a:extLst>
            <a:ext uri="{FF2B5EF4-FFF2-40B4-BE49-F238E27FC236}">
              <a16:creationId xmlns:a16="http://schemas.microsoft.com/office/drawing/2014/main" id="{158A8030-B367-FDAB-BA22-D1BFFD83EFC8}"/>
            </a:ext>
          </a:extLst>
        </xdr:cNvPr>
        <xdr:cNvSpPr/>
      </xdr:nvSpPr>
      <xdr:spPr>
        <a:xfrm>
          <a:off x="68580" y="68580"/>
          <a:ext cx="13944600" cy="5676900"/>
        </a:xfrm>
        <a:prstGeom prst="roundRect">
          <a:avLst>
            <a:gd name="adj" fmla="val 14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480060</xdr:colOff>
      <xdr:row>0</xdr:row>
      <xdr:rowOff>83820</xdr:rowOff>
    </xdr:from>
    <xdr:to>
      <xdr:col>23</xdr:col>
      <xdr:colOff>213360</xdr:colOff>
      <xdr:row>31</xdr:row>
      <xdr:rowOff>22860</xdr:rowOff>
    </xdr:to>
    <xdr:sp macro="" textlink="">
      <xdr:nvSpPr>
        <xdr:cNvPr id="9" name="Rectangle: Rounded Corners 8">
          <a:extLst>
            <a:ext uri="{FF2B5EF4-FFF2-40B4-BE49-F238E27FC236}">
              <a16:creationId xmlns:a16="http://schemas.microsoft.com/office/drawing/2014/main" id="{7C005404-56DD-47C6-991B-300604C0068E}"/>
            </a:ext>
          </a:extLst>
        </xdr:cNvPr>
        <xdr:cNvSpPr/>
      </xdr:nvSpPr>
      <xdr:spPr>
        <a:xfrm>
          <a:off x="2308860" y="83820"/>
          <a:ext cx="11925300" cy="5608320"/>
        </a:xfrm>
        <a:prstGeom prst="roundRect">
          <a:avLst>
            <a:gd name="adj" fmla="val 1467"/>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editAs="oneCell">
    <xdr:from>
      <xdr:col>4</xdr:col>
      <xdr:colOff>15240</xdr:colOff>
      <xdr:row>0</xdr:row>
      <xdr:rowOff>99060</xdr:rowOff>
    </xdr:from>
    <xdr:to>
      <xdr:col>13</xdr:col>
      <xdr:colOff>236220</xdr:colOff>
      <xdr:row>7</xdr:row>
      <xdr:rowOff>144780</xdr:rowOff>
    </xdr:to>
    <mc:AlternateContent xmlns:mc="http://schemas.openxmlformats.org/markup-compatibility/2006">
      <mc:Choice xmlns:tsle="http://schemas.microsoft.com/office/drawing/2012/timeslicer" Requires="tsle">
        <xdr:graphicFrame macro="">
          <xdr:nvGraphicFramePr>
            <xdr:cNvPr id="10" name="Date 1">
              <a:extLst>
                <a:ext uri="{FF2B5EF4-FFF2-40B4-BE49-F238E27FC236}">
                  <a16:creationId xmlns:a16="http://schemas.microsoft.com/office/drawing/2014/main" id="{8750C407-2A31-485B-B728-C5B2DAD0C466}"/>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2453640" y="99060"/>
              <a:ext cx="5707380" cy="132588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13</xdr:col>
      <xdr:colOff>342900</xdr:colOff>
      <xdr:row>0</xdr:row>
      <xdr:rowOff>99060</xdr:rowOff>
    </xdr:from>
    <xdr:to>
      <xdr:col>23</xdr:col>
      <xdr:colOff>83820</xdr:colOff>
      <xdr:row>7</xdr:row>
      <xdr:rowOff>137160</xdr:rowOff>
    </xdr:to>
    <mc:AlternateContent xmlns:mc="http://schemas.openxmlformats.org/markup-compatibility/2006">
      <mc:Choice xmlns:a14="http://schemas.microsoft.com/office/drawing/2010/main" Requires="a14">
        <xdr:graphicFrame macro="">
          <xdr:nvGraphicFramePr>
            <xdr:cNvPr id="11" name="Place 1">
              <a:extLst>
                <a:ext uri="{FF2B5EF4-FFF2-40B4-BE49-F238E27FC236}">
                  <a16:creationId xmlns:a16="http://schemas.microsoft.com/office/drawing/2014/main" id="{5230FE4B-E746-49F1-A8FA-D319C9E47611}"/>
                </a:ext>
              </a:extLst>
            </xdr:cNvPr>
            <xdr:cNvGraphicFramePr/>
          </xdr:nvGraphicFramePr>
          <xdr:xfrm>
            <a:off x="0" y="0"/>
            <a:ext cx="0" cy="0"/>
          </xdr:xfrm>
          <a:graphic>
            <a:graphicData uri="http://schemas.microsoft.com/office/drawing/2010/slicer">
              <sle:slicer xmlns:sle="http://schemas.microsoft.com/office/drawing/2010/slicer" name="Place 1"/>
            </a:graphicData>
          </a:graphic>
        </xdr:graphicFrame>
      </mc:Choice>
      <mc:Fallback>
        <xdr:sp macro="" textlink="">
          <xdr:nvSpPr>
            <xdr:cNvPr id="0" name=""/>
            <xdr:cNvSpPr>
              <a:spLocks noTextEdit="1"/>
            </xdr:cNvSpPr>
          </xdr:nvSpPr>
          <xdr:spPr>
            <a:xfrm>
              <a:off x="8267700" y="99060"/>
              <a:ext cx="5836920" cy="1318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594360</xdr:colOff>
      <xdr:row>8</xdr:row>
      <xdr:rowOff>60960</xdr:rowOff>
    </xdr:from>
    <xdr:to>
      <xdr:col>23</xdr:col>
      <xdr:colOff>205740</xdr:colOff>
      <xdr:row>12</xdr:row>
      <xdr:rowOff>144779</xdr:rowOff>
    </xdr:to>
    <mc:AlternateContent xmlns:mc="http://schemas.openxmlformats.org/markup-compatibility/2006">
      <mc:Choice xmlns:a14="http://schemas.microsoft.com/office/drawing/2010/main" Requires="a14">
        <xdr:graphicFrame macro="">
          <xdr:nvGraphicFramePr>
            <xdr:cNvPr id="12" name="Products 1">
              <a:extLst>
                <a:ext uri="{FF2B5EF4-FFF2-40B4-BE49-F238E27FC236}">
                  <a16:creationId xmlns:a16="http://schemas.microsoft.com/office/drawing/2014/main" id="{3FC87840-2D10-4202-AAAE-86F4220E5676}"/>
                </a:ext>
              </a:extLst>
            </xdr:cNvPr>
            <xdr:cNvGraphicFramePr/>
          </xdr:nvGraphicFramePr>
          <xdr:xfrm>
            <a:off x="0" y="0"/>
            <a:ext cx="0" cy="0"/>
          </xdr:xfrm>
          <a:graphic>
            <a:graphicData uri="http://schemas.microsoft.com/office/drawing/2010/slicer">
              <sle:slicer xmlns:sle="http://schemas.microsoft.com/office/drawing/2010/slicer" name="Products 1"/>
            </a:graphicData>
          </a:graphic>
        </xdr:graphicFrame>
      </mc:Choice>
      <mc:Fallback>
        <xdr:sp macro="" textlink="">
          <xdr:nvSpPr>
            <xdr:cNvPr id="0" name=""/>
            <xdr:cNvSpPr>
              <a:spLocks noTextEdit="1"/>
            </xdr:cNvSpPr>
          </xdr:nvSpPr>
          <xdr:spPr>
            <a:xfrm>
              <a:off x="2423160" y="1524000"/>
              <a:ext cx="11803380" cy="8153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121920</xdr:colOff>
      <xdr:row>13</xdr:row>
      <xdr:rowOff>30480</xdr:rowOff>
    </xdr:from>
    <xdr:to>
      <xdr:col>4</xdr:col>
      <xdr:colOff>571500</xdr:colOff>
      <xdr:row>15</xdr:row>
      <xdr:rowOff>114300</xdr:rowOff>
    </xdr:to>
    <xdr:pic>
      <xdr:nvPicPr>
        <xdr:cNvPr id="14" name="Graphic 13" descr="Bar graph with downward trend with solid fill">
          <a:extLst>
            <a:ext uri="{FF2B5EF4-FFF2-40B4-BE49-F238E27FC236}">
              <a16:creationId xmlns:a16="http://schemas.microsoft.com/office/drawing/2014/main" id="{98CCDF73-2D9D-38CC-E31B-22B44CA8B7F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560320" y="2407920"/>
          <a:ext cx="449580" cy="449580"/>
        </a:xfrm>
        <a:prstGeom prst="rect">
          <a:avLst/>
        </a:prstGeom>
      </xdr:spPr>
    </xdr:pic>
    <xdr:clientData/>
  </xdr:twoCellAnchor>
  <xdr:twoCellAnchor>
    <xdr:from>
      <xdr:col>4</xdr:col>
      <xdr:colOff>556260</xdr:colOff>
      <xdr:row>13</xdr:row>
      <xdr:rowOff>91440</xdr:rowOff>
    </xdr:from>
    <xdr:to>
      <xdr:col>7</xdr:col>
      <xdr:colOff>510540</xdr:colOff>
      <xdr:row>15</xdr:row>
      <xdr:rowOff>106680</xdr:rowOff>
    </xdr:to>
    <xdr:sp macro="" textlink="">
      <xdr:nvSpPr>
        <xdr:cNvPr id="16" name="Rectangle 15">
          <a:extLst>
            <a:ext uri="{FF2B5EF4-FFF2-40B4-BE49-F238E27FC236}">
              <a16:creationId xmlns:a16="http://schemas.microsoft.com/office/drawing/2014/main" id="{A8C146D8-C6D1-265D-1430-92F59E03F83B}"/>
            </a:ext>
          </a:extLst>
        </xdr:cNvPr>
        <xdr:cNvSpPr/>
      </xdr:nvSpPr>
      <xdr:spPr>
        <a:xfrm>
          <a:off x="2994660" y="2468880"/>
          <a:ext cx="1783080" cy="3810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solidFill>
                <a:srgbClr val="0070C0"/>
              </a:solidFill>
            </a:rPr>
            <a:t>Analytics</a:t>
          </a:r>
        </a:p>
      </xdr:txBody>
    </xdr:sp>
    <xdr:clientData/>
  </xdr:twoCellAnchor>
  <xdr:twoCellAnchor>
    <xdr:from>
      <xdr:col>4</xdr:col>
      <xdr:colOff>320040</xdr:colOff>
      <xdr:row>15</xdr:row>
      <xdr:rowOff>175260</xdr:rowOff>
    </xdr:from>
    <xdr:to>
      <xdr:col>8</xdr:col>
      <xdr:colOff>160020</xdr:colOff>
      <xdr:row>19</xdr:row>
      <xdr:rowOff>76200</xdr:rowOff>
    </xdr:to>
    <xdr:sp macro="" textlink="">
      <xdr:nvSpPr>
        <xdr:cNvPr id="20" name="Rectangle: Rounded Corners 19">
          <a:extLst>
            <a:ext uri="{FF2B5EF4-FFF2-40B4-BE49-F238E27FC236}">
              <a16:creationId xmlns:a16="http://schemas.microsoft.com/office/drawing/2014/main" id="{07D423E2-38CC-8A06-5F44-28C3AFA7C1A9}"/>
            </a:ext>
          </a:extLst>
        </xdr:cNvPr>
        <xdr:cNvSpPr/>
      </xdr:nvSpPr>
      <xdr:spPr>
        <a:xfrm>
          <a:off x="2758440" y="2918460"/>
          <a:ext cx="2278380" cy="632460"/>
        </a:xfrm>
        <a:prstGeom prst="roundRect">
          <a:avLst>
            <a:gd name="adj" fmla="val 5824"/>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30480</xdr:colOff>
      <xdr:row>15</xdr:row>
      <xdr:rowOff>167640</xdr:rowOff>
    </xdr:from>
    <xdr:to>
      <xdr:col>8</xdr:col>
      <xdr:colOff>114300</xdr:colOff>
      <xdr:row>19</xdr:row>
      <xdr:rowOff>68580</xdr:rowOff>
    </xdr:to>
    <xdr:sp macro="" textlink="">
      <xdr:nvSpPr>
        <xdr:cNvPr id="21" name="Rectangle: Rounded Corners 20">
          <a:extLst>
            <a:ext uri="{FF2B5EF4-FFF2-40B4-BE49-F238E27FC236}">
              <a16:creationId xmlns:a16="http://schemas.microsoft.com/office/drawing/2014/main" id="{B6E0C171-164B-41F7-AC09-E2BEE38D5D4F}"/>
            </a:ext>
          </a:extLst>
        </xdr:cNvPr>
        <xdr:cNvSpPr/>
      </xdr:nvSpPr>
      <xdr:spPr>
        <a:xfrm>
          <a:off x="3078480" y="2910840"/>
          <a:ext cx="1912620" cy="63246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266700</xdr:colOff>
      <xdr:row>15</xdr:row>
      <xdr:rowOff>175260</xdr:rowOff>
    </xdr:from>
    <xdr:to>
      <xdr:col>13</xdr:col>
      <xdr:colOff>144780</xdr:colOff>
      <xdr:row>19</xdr:row>
      <xdr:rowOff>83820</xdr:rowOff>
    </xdr:to>
    <xdr:sp macro="" textlink="">
      <xdr:nvSpPr>
        <xdr:cNvPr id="22" name="Rectangle: Rounded Corners 21">
          <a:extLst>
            <a:ext uri="{FF2B5EF4-FFF2-40B4-BE49-F238E27FC236}">
              <a16:creationId xmlns:a16="http://schemas.microsoft.com/office/drawing/2014/main" id="{F7A83FA4-A59B-9B59-7CB6-871323196AD5}"/>
            </a:ext>
          </a:extLst>
        </xdr:cNvPr>
        <xdr:cNvSpPr/>
      </xdr:nvSpPr>
      <xdr:spPr>
        <a:xfrm>
          <a:off x="5753100" y="2918460"/>
          <a:ext cx="2316480" cy="640080"/>
        </a:xfrm>
        <a:prstGeom prst="roundRect">
          <a:avLst>
            <a:gd name="adj" fmla="val 8334"/>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601980</xdr:colOff>
      <xdr:row>16</xdr:row>
      <xdr:rowOff>0</xdr:rowOff>
    </xdr:from>
    <xdr:to>
      <xdr:col>13</xdr:col>
      <xdr:colOff>99060</xdr:colOff>
      <xdr:row>19</xdr:row>
      <xdr:rowOff>91440</xdr:rowOff>
    </xdr:to>
    <xdr:sp macro="" textlink="">
      <xdr:nvSpPr>
        <xdr:cNvPr id="23" name="Rectangle: Rounded Corners 22">
          <a:extLst>
            <a:ext uri="{FF2B5EF4-FFF2-40B4-BE49-F238E27FC236}">
              <a16:creationId xmlns:a16="http://schemas.microsoft.com/office/drawing/2014/main" id="{5F69FD6B-6A54-4FEB-B629-5A5016C7E866}"/>
            </a:ext>
          </a:extLst>
        </xdr:cNvPr>
        <xdr:cNvSpPr/>
      </xdr:nvSpPr>
      <xdr:spPr>
        <a:xfrm>
          <a:off x="6088380" y="2926080"/>
          <a:ext cx="1935480" cy="64008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ysClr val="windowText" lastClr="000000"/>
              </a:solidFill>
            </a:rPr>
            <a:t>Total</a:t>
          </a:r>
          <a:r>
            <a:rPr lang="en-IN" sz="1400" b="1" baseline="0">
              <a:solidFill>
                <a:sysClr val="windowText" lastClr="000000"/>
              </a:solidFill>
            </a:rPr>
            <a:t> Sales</a:t>
          </a:r>
          <a:endParaRPr lang="en-IN" sz="1400" b="1">
            <a:solidFill>
              <a:sysClr val="windowText" lastClr="000000"/>
            </a:solidFill>
          </a:endParaRPr>
        </a:p>
      </xdr:txBody>
    </xdr:sp>
    <xdr:clientData/>
  </xdr:twoCellAnchor>
  <xdr:twoCellAnchor>
    <xdr:from>
      <xdr:col>4</xdr:col>
      <xdr:colOff>137160</xdr:colOff>
      <xdr:row>20</xdr:row>
      <xdr:rowOff>83820</xdr:rowOff>
    </xdr:from>
    <xdr:to>
      <xdr:col>13</xdr:col>
      <xdr:colOff>228600</xdr:colOff>
      <xdr:row>30</xdr:row>
      <xdr:rowOff>83820</xdr:rowOff>
    </xdr:to>
    <xdr:sp macro="" textlink="">
      <xdr:nvSpPr>
        <xdr:cNvPr id="24" name="Rectangle 23">
          <a:extLst>
            <a:ext uri="{FF2B5EF4-FFF2-40B4-BE49-F238E27FC236}">
              <a16:creationId xmlns:a16="http://schemas.microsoft.com/office/drawing/2014/main" id="{B12A0276-845C-92E6-9982-C0AA4E17B15F}"/>
            </a:ext>
          </a:extLst>
        </xdr:cNvPr>
        <xdr:cNvSpPr/>
      </xdr:nvSpPr>
      <xdr:spPr>
        <a:xfrm>
          <a:off x="2575560" y="3741420"/>
          <a:ext cx="5577840" cy="18288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ysClr val="windowText" lastClr="000000"/>
              </a:solidFill>
            </a:rPr>
            <a:t>Sales</a:t>
          </a:r>
          <a:r>
            <a:rPr lang="en-IN" sz="1100" b="1" baseline="0">
              <a:solidFill>
                <a:sysClr val="windowText" lastClr="000000"/>
              </a:solidFill>
            </a:rPr>
            <a:t> of Products</a:t>
          </a:r>
          <a:endParaRPr lang="en-IN" sz="1100" b="1">
            <a:solidFill>
              <a:sysClr val="windowText" lastClr="000000"/>
            </a:solidFill>
          </a:endParaRPr>
        </a:p>
      </xdr:txBody>
    </xdr:sp>
    <xdr:clientData/>
  </xdr:twoCellAnchor>
  <xdr:twoCellAnchor>
    <xdr:from>
      <xdr:col>13</xdr:col>
      <xdr:colOff>358140</xdr:colOff>
      <xdr:row>13</xdr:row>
      <xdr:rowOff>38100</xdr:rowOff>
    </xdr:from>
    <xdr:to>
      <xdr:col>23</xdr:col>
      <xdr:colOff>83820</xdr:colOff>
      <xdr:row>20</xdr:row>
      <xdr:rowOff>68580</xdr:rowOff>
    </xdr:to>
    <xdr:sp macro="" textlink="">
      <xdr:nvSpPr>
        <xdr:cNvPr id="26" name="Rectangle 25">
          <a:extLst>
            <a:ext uri="{FF2B5EF4-FFF2-40B4-BE49-F238E27FC236}">
              <a16:creationId xmlns:a16="http://schemas.microsoft.com/office/drawing/2014/main" id="{0D33C22D-95B5-374F-7BF9-335539096713}"/>
            </a:ext>
          </a:extLst>
        </xdr:cNvPr>
        <xdr:cNvSpPr/>
      </xdr:nvSpPr>
      <xdr:spPr>
        <a:xfrm>
          <a:off x="8282940" y="2415540"/>
          <a:ext cx="5821680" cy="131064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Sales by Months</a:t>
          </a:r>
        </a:p>
      </xdr:txBody>
    </xdr:sp>
    <xdr:clientData/>
  </xdr:twoCellAnchor>
  <xdr:twoCellAnchor>
    <xdr:from>
      <xdr:col>13</xdr:col>
      <xdr:colOff>373380</xdr:colOff>
      <xdr:row>20</xdr:row>
      <xdr:rowOff>137160</xdr:rowOff>
    </xdr:from>
    <xdr:to>
      <xdr:col>23</xdr:col>
      <xdr:colOff>99060</xdr:colOff>
      <xdr:row>30</xdr:row>
      <xdr:rowOff>83820</xdr:rowOff>
    </xdr:to>
    <xdr:sp macro="" textlink="">
      <xdr:nvSpPr>
        <xdr:cNvPr id="27" name="Rectangle 26">
          <a:extLst>
            <a:ext uri="{FF2B5EF4-FFF2-40B4-BE49-F238E27FC236}">
              <a16:creationId xmlns:a16="http://schemas.microsoft.com/office/drawing/2014/main" id="{84BBFDA9-D2B3-42B2-803F-D4238B9295E2}"/>
            </a:ext>
          </a:extLst>
        </xdr:cNvPr>
        <xdr:cNvSpPr/>
      </xdr:nvSpPr>
      <xdr:spPr>
        <a:xfrm>
          <a:off x="8298180" y="3794760"/>
          <a:ext cx="5821680" cy="177546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ysClr val="windowText" lastClr="000000"/>
              </a:solidFill>
            </a:rPr>
            <a:t>Sales by Places</a:t>
          </a:r>
          <a:endParaRPr lang="en-IN" sz="1100" b="1"/>
        </a:p>
      </xdr:txBody>
    </xdr:sp>
    <xdr:clientData/>
  </xdr:twoCellAnchor>
  <xdr:twoCellAnchor>
    <xdr:from>
      <xdr:col>0</xdr:col>
      <xdr:colOff>259080</xdr:colOff>
      <xdr:row>9</xdr:row>
      <xdr:rowOff>38100</xdr:rowOff>
    </xdr:from>
    <xdr:to>
      <xdr:col>3</xdr:col>
      <xdr:colOff>259080</xdr:colOff>
      <xdr:row>11</xdr:row>
      <xdr:rowOff>167640</xdr:rowOff>
    </xdr:to>
    <xdr:sp macro="" textlink="">
      <xdr:nvSpPr>
        <xdr:cNvPr id="28" name="Rectangle: Rounded Corners 27">
          <a:extLst>
            <a:ext uri="{FF2B5EF4-FFF2-40B4-BE49-F238E27FC236}">
              <a16:creationId xmlns:a16="http://schemas.microsoft.com/office/drawing/2014/main" id="{0A046725-6C61-134E-F536-5CE43B0831F4}"/>
            </a:ext>
          </a:extLst>
        </xdr:cNvPr>
        <xdr:cNvSpPr/>
      </xdr:nvSpPr>
      <xdr:spPr>
        <a:xfrm>
          <a:off x="259080" y="1684020"/>
          <a:ext cx="1828800" cy="495300"/>
        </a:xfrm>
        <a:prstGeom prst="roundRect">
          <a:avLst>
            <a:gd name="adj" fmla="val 8720"/>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ysClr val="windowText" lastClr="000000"/>
              </a:solidFill>
            </a:rPr>
            <a:t>DASHB</a:t>
          </a:r>
          <a:r>
            <a:rPr lang="en-IN" sz="2000" b="1" baseline="0">
              <a:solidFill>
                <a:sysClr val="windowText" lastClr="000000"/>
              </a:solidFill>
            </a:rPr>
            <a:t>OARD</a:t>
          </a:r>
          <a:endParaRPr lang="en-IN" sz="2000" b="1">
            <a:solidFill>
              <a:sysClr val="windowText" lastClr="000000"/>
            </a:solidFill>
          </a:endParaRPr>
        </a:p>
      </xdr:txBody>
    </xdr:sp>
    <xdr:clientData/>
  </xdr:twoCellAnchor>
  <xdr:oneCellAnchor>
    <xdr:from>
      <xdr:col>2</xdr:col>
      <xdr:colOff>571500</xdr:colOff>
      <xdr:row>10</xdr:row>
      <xdr:rowOff>144780</xdr:rowOff>
    </xdr:from>
    <xdr:ext cx="184731" cy="264560"/>
    <xdr:sp macro="" textlink="">
      <xdr:nvSpPr>
        <xdr:cNvPr id="34" name="TextBox 33">
          <a:extLst>
            <a:ext uri="{FF2B5EF4-FFF2-40B4-BE49-F238E27FC236}">
              <a16:creationId xmlns:a16="http://schemas.microsoft.com/office/drawing/2014/main" id="{BAD8BBEC-26BD-FA86-48DE-326963B07B05}"/>
            </a:ext>
          </a:extLst>
        </xdr:cNvPr>
        <xdr:cNvSpPr txBox="1"/>
      </xdr:nvSpPr>
      <xdr:spPr>
        <a:xfrm>
          <a:off x="1790700" y="1973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0</xdr:col>
      <xdr:colOff>228600</xdr:colOff>
      <xdr:row>13</xdr:row>
      <xdr:rowOff>68580</xdr:rowOff>
    </xdr:from>
    <xdr:to>
      <xdr:col>3</xdr:col>
      <xdr:colOff>228600</xdr:colOff>
      <xdr:row>16</xdr:row>
      <xdr:rowOff>15240</xdr:rowOff>
    </xdr:to>
    <xdr:sp macro="" textlink="">
      <xdr:nvSpPr>
        <xdr:cNvPr id="37" name="Rectangle: Rounded Corners 36">
          <a:extLst>
            <a:ext uri="{FF2B5EF4-FFF2-40B4-BE49-F238E27FC236}">
              <a16:creationId xmlns:a16="http://schemas.microsoft.com/office/drawing/2014/main" id="{22D97A36-BF31-4259-A4B0-DFADA5DB65A5}"/>
            </a:ext>
          </a:extLst>
        </xdr:cNvPr>
        <xdr:cNvSpPr/>
      </xdr:nvSpPr>
      <xdr:spPr>
        <a:xfrm>
          <a:off x="228600" y="2446020"/>
          <a:ext cx="1828800" cy="495300"/>
        </a:xfrm>
        <a:prstGeom prst="roundRect">
          <a:avLst>
            <a:gd name="adj" fmla="val 8720"/>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bg1"/>
              </a:solidFill>
            </a:rPr>
            <a:t>PRODUCTS</a:t>
          </a:r>
        </a:p>
      </xdr:txBody>
    </xdr:sp>
    <xdr:clientData/>
  </xdr:twoCellAnchor>
  <xdr:twoCellAnchor>
    <xdr:from>
      <xdr:col>0</xdr:col>
      <xdr:colOff>236220</xdr:colOff>
      <xdr:row>17</xdr:row>
      <xdr:rowOff>91440</xdr:rowOff>
    </xdr:from>
    <xdr:to>
      <xdr:col>3</xdr:col>
      <xdr:colOff>236220</xdr:colOff>
      <xdr:row>20</xdr:row>
      <xdr:rowOff>38100</xdr:rowOff>
    </xdr:to>
    <xdr:sp macro="" textlink="">
      <xdr:nvSpPr>
        <xdr:cNvPr id="38" name="Rectangle: Rounded Corners 37">
          <a:extLst>
            <a:ext uri="{FF2B5EF4-FFF2-40B4-BE49-F238E27FC236}">
              <a16:creationId xmlns:a16="http://schemas.microsoft.com/office/drawing/2014/main" id="{420564D3-A85E-4F9D-96C6-A55862F54527}"/>
            </a:ext>
          </a:extLst>
        </xdr:cNvPr>
        <xdr:cNvSpPr/>
      </xdr:nvSpPr>
      <xdr:spPr>
        <a:xfrm>
          <a:off x="236220" y="3200400"/>
          <a:ext cx="1828800" cy="495300"/>
        </a:xfrm>
        <a:prstGeom prst="roundRect">
          <a:avLst>
            <a:gd name="adj" fmla="val 8720"/>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bg1"/>
              </a:solidFill>
            </a:rPr>
            <a:t>SALESMANS</a:t>
          </a:r>
        </a:p>
      </xdr:txBody>
    </xdr:sp>
    <xdr:clientData/>
  </xdr:twoCellAnchor>
  <xdr:twoCellAnchor>
    <xdr:from>
      <xdr:col>0</xdr:col>
      <xdr:colOff>243840</xdr:colOff>
      <xdr:row>21</xdr:row>
      <xdr:rowOff>68580</xdr:rowOff>
    </xdr:from>
    <xdr:to>
      <xdr:col>3</xdr:col>
      <xdr:colOff>243840</xdr:colOff>
      <xdr:row>24</xdr:row>
      <xdr:rowOff>15240</xdr:rowOff>
    </xdr:to>
    <xdr:sp macro="" textlink="">
      <xdr:nvSpPr>
        <xdr:cNvPr id="39" name="Rectangle: Rounded Corners 38">
          <a:extLst>
            <a:ext uri="{FF2B5EF4-FFF2-40B4-BE49-F238E27FC236}">
              <a16:creationId xmlns:a16="http://schemas.microsoft.com/office/drawing/2014/main" id="{530A8BCB-6C54-4570-B3E3-E0555FE05FA9}"/>
            </a:ext>
          </a:extLst>
        </xdr:cNvPr>
        <xdr:cNvSpPr/>
      </xdr:nvSpPr>
      <xdr:spPr>
        <a:xfrm>
          <a:off x="243840" y="3909060"/>
          <a:ext cx="1828800" cy="495300"/>
        </a:xfrm>
        <a:prstGeom prst="roundRect">
          <a:avLst>
            <a:gd name="adj" fmla="val 8720"/>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bg1"/>
              </a:solidFill>
            </a:rPr>
            <a:t>ABOUT</a:t>
          </a:r>
        </a:p>
      </xdr:txBody>
    </xdr:sp>
    <xdr:clientData/>
  </xdr:twoCellAnchor>
  <xdr:twoCellAnchor>
    <xdr:from>
      <xdr:col>5</xdr:col>
      <xdr:colOff>76200</xdr:colOff>
      <xdr:row>16</xdr:row>
      <xdr:rowOff>15240</xdr:rowOff>
    </xdr:from>
    <xdr:to>
      <xdr:col>7</xdr:col>
      <xdr:colOff>373380</xdr:colOff>
      <xdr:row>17</xdr:row>
      <xdr:rowOff>76200</xdr:rowOff>
    </xdr:to>
    <xdr:sp macro="" textlink="">
      <xdr:nvSpPr>
        <xdr:cNvPr id="40" name="Rectangle 39">
          <a:extLst>
            <a:ext uri="{FF2B5EF4-FFF2-40B4-BE49-F238E27FC236}">
              <a16:creationId xmlns:a16="http://schemas.microsoft.com/office/drawing/2014/main" id="{2D35025E-3999-494B-A5E4-67012BD78AF1}"/>
            </a:ext>
          </a:extLst>
        </xdr:cNvPr>
        <xdr:cNvSpPr/>
      </xdr:nvSpPr>
      <xdr:spPr>
        <a:xfrm>
          <a:off x="3124200" y="2941320"/>
          <a:ext cx="1516380" cy="24384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Total</a:t>
          </a:r>
          <a:r>
            <a:rPr lang="en-IN" sz="1400" b="1" baseline="0">
              <a:solidFill>
                <a:schemeClr val="tx1"/>
              </a:solidFill>
            </a:rPr>
            <a:t> Amount</a:t>
          </a:r>
          <a:endParaRPr lang="en-IN" sz="1400" b="1">
            <a:solidFill>
              <a:schemeClr val="tx1"/>
            </a:solidFill>
          </a:endParaRPr>
        </a:p>
      </xdr:txBody>
    </xdr:sp>
    <xdr:clientData/>
  </xdr:twoCellAnchor>
  <xdr:twoCellAnchor editAs="oneCell">
    <xdr:from>
      <xdr:col>10</xdr:col>
      <xdr:colOff>91440</xdr:colOff>
      <xdr:row>17</xdr:row>
      <xdr:rowOff>76200</xdr:rowOff>
    </xdr:from>
    <xdr:to>
      <xdr:col>10</xdr:col>
      <xdr:colOff>441960</xdr:colOff>
      <xdr:row>19</xdr:row>
      <xdr:rowOff>60960</xdr:rowOff>
    </xdr:to>
    <xdr:pic>
      <xdr:nvPicPr>
        <xdr:cNvPr id="43" name="Graphic 42" descr="Business Growth with solid fill">
          <a:extLst>
            <a:ext uri="{FF2B5EF4-FFF2-40B4-BE49-F238E27FC236}">
              <a16:creationId xmlns:a16="http://schemas.microsoft.com/office/drawing/2014/main" id="{6649A56C-6249-84F6-905B-9D2BF025B9E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187440" y="3185160"/>
          <a:ext cx="350520" cy="350520"/>
        </a:xfrm>
        <a:prstGeom prst="rect">
          <a:avLst/>
        </a:prstGeom>
      </xdr:spPr>
    </xdr:pic>
    <xdr:clientData/>
  </xdr:twoCellAnchor>
  <xdr:twoCellAnchor editAs="oneCell">
    <xdr:from>
      <xdr:col>5</xdr:col>
      <xdr:colOff>45720</xdr:colOff>
      <xdr:row>17</xdr:row>
      <xdr:rowOff>114300</xdr:rowOff>
    </xdr:from>
    <xdr:to>
      <xdr:col>5</xdr:col>
      <xdr:colOff>327660</xdr:colOff>
      <xdr:row>19</xdr:row>
      <xdr:rowOff>30480</xdr:rowOff>
    </xdr:to>
    <xdr:pic>
      <xdr:nvPicPr>
        <xdr:cNvPr id="47" name="Graphic 46" descr="Dollar with solid fill">
          <a:extLst>
            <a:ext uri="{FF2B5EF4-FFF2-40B4-BE49-F238E27FC236}">
              <a16:creationId xmlns:a16="http://schemas.microsoft.com/office/drawing/2014/main" id="{8B95C86B-1718-13DD-27B1-A424B7A7C02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093720" y="3223260"/>
          <a:ext cx="281940" cy="281940"/>
        </a:xfrm>
        <a:prstGeom prst="rect">
          <a:avLst/>
        </a:prstGeom>
      </xdr:spPr>
    </xdr:pic>
    <xdr:clientData/>
  </xdr:twoCellAnchor>
  <xdr:twoCellAnchor>
    <xdr:from>
      <xdr:col>14</xdr:col>
      <xdr:colOff>327660</xdr:colOff>
      <xdr:row>14</xdr:row>
      <xdr:rowOff>91440</xdr:rowOff>
    </xdr:from>
    <xdr:to>
      <xdr:col>21</xdr:col>
      <xdr:colOff>601980</xdr:colOff>
      <xdr:row>19</xdr:row>
      <xdr:rowOff>137160</xdr:rowOff>
    </xdr:to>
    <xdr:graphicFrame macro="">
      <xdr:nvGraphicFramePr>
        <xdr:cNvPr id="48" name="Chart 47">
          <a:extLst>
            <a:ext uri="{FF2B5EF4-FFF2-40B4-BE49-F238E27FC236}">
              <a16:creationId xmlns:a16="http://schemas.microsoft.com/office/drawing/2014/main" id="{AECEBAA7-8341-4166-87FD-8046F3CC82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220980</xdr:colOff>
      <xdr:row>22</xdr:row>
      <xdr:rowOff>76200</xdr:rowOff>
    </xdr:from>
    <xdr:to>
      <xdr:col>21</xdr:col>
      <xdr:colOff>396240</xdr:colOff>
      <xdr:row>30</xdr:row>
      <xdr:rowOff>53340</xdr:rowOff>
    </xdr:to>
    <xdr:graphicFrame macro="">
      <xdr:nvGraphicFramePr>
        <xdr:cNvPr id="50" name="Chart 49">
          <a:extLst>
            <a:ext uri="{FF2B5EF4-FFF2-40B4-BE49-F238E27FC236}">
              <a16:creationId xmlns:a16="http://schemas.microsoft.com/office/drawing/2014/main" id="{18FCBDA7-56FA-40A0-A8BF-86DDF8D1B3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175260</xdr:colOff>
      <xdr:row>21</xdr:row>
      <xdr:rowOff>137160</xdr:rowOff>
    </xdr:from>
    <xdr:to>
      <xdr:col>11</xdr:col>
      <xdr:colOff>220980</xdr:colOff>
      <xdr:row>29</xdr:row>
      <xdr:rowOff>137160</xdr:rowOff>
    </xdr:to>
    <xdr:graphicFrame macro="">
      <xdr:nvGraphicFramePr>
        <xdr:cNvPr id="51" name="Chart 50">
          <a:extLst>
            <a:ext uri="{FF2B5EF4-FFF2-40B4-BE49-F238E27FC236}">
              <a16:creationId xmlns:a16="http://schemas.microsoft.com/office/drawing/2014/main" id="{3D9CFD9B-06B3-41C9-B926-4CCD9FDC97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5</xdr:col>
      <xdr:colOff>30480</xdr:colOff>
      <xdr:row>17</xdr:row>
      <xdr:rowOff>137160</xdr:rowOff>
    </xdr:from>
    <xdr:to>
      <xdr:col>6</xdr:col>
      <xdr:colOff>583082</xdr:colOff>
      <xdr:row>19</xdr:row>
      <xdr:rowOff>7620</xdr:rowOff>
    </xdr:to>
    <xdr:pic>
      <xdr:nvPicPr>
        <xdr:cNvPr id="52" name="Picture 51">
          <a:extLst>
            <a:ext uri="{FF2B5EF4-FFF2-40B4-BE49-F238E27FC236}">
              <a16:creationId xmlns:a16="http://schemas.microsoft.com/office/drawing/2014/main" id="{9B5D8FBD-7842-B3A3-074D-8205486FA84F}"/>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078480" y="3246120"/>
          <a:ext cx="1162202" cy="236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563880</xdr:colOff>
      <xdr:row>17</xdr:row>
      <xdr:rowOff>129540</xdr:rowOff>
    </xdr:from>
    <xdr:to>
      <xdr:col>11</xdr:col>
      <xdr:colOff>286512</xdr:colOff>
      <xdr:row>18</xdr:row>
      <xdr:rowOff>175260</xdr:rowOff>
    </xdr:to>
    <xdr:pic>
      <xdr:nvPicPr>
        <xdr:cNvPr id="53" name="Picture 52">
          <a:extLst>
            <a:ext uri="{FF2B5EF4-FFF2-40B4-BE49-F238E27FC236}">
              <a16:creationId xmlns:a16="http://schemas.microsoft.com/office/drawing/2014/main" id="{34320684-70A4-90CB-3306-BD844B8EAC72}"/>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6050280" y="3238500"/>
          <a:ext cx="941832"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342900</xdr:colOff>
      <xdr:row>4</xdr:row>
      <xdr:rowOff>7620</xdr:rowOff>
    </xdr:from>
    <xdr:to>
      <xdr:col>11</xdr:col>
      <xdr:colOff>22860</xdr:colOff>
      <xdr:row>11</xdr:row>
      <xdr:rowOff>99060</xdr:rowOff>
    </xdr:to>
    <mc:AlternateContent xmlns:mc="http://schemas.openxmlformats.org/markup-compatibility/2006">
      <mc:Choice xmlns:tsle="http://schemas.microsoft.com/office/drawing/2012/timeslicer" Requires="tsle">
        <xdr:graphicFrame macro="">
          <xdr:nvGraphicFramePr>
            <xdr:cNvPr id="2" name="Date">
              <a:extLst>
                <a:ext uri="{FF2B5EF4-FFF2-40B4-BE49-F238E27FC236}">
                  <a16:creationId xmlns:a16="http://schemas.microsoft.com/office/drawing/2014/main" id="{5F368AC1-FF17-0C5D-BBBC-58A90BE4FCD8}"/>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3939540" y="73914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6</xdr:col>
      <xdr:colOff>594360</xdr:colOff>
      <xdr:row>13</xdr:row>
      <xdr:rowOff>144781</xdr:rowOff>
    </xdr:from>
    <xdr:to>
      <xdr:col>9</xdr:col>
      <xdr:colOff>594360</xdr:colOff>
      <xdr:row>18</xdr:row>
      <xdr:rowOff>45720</xdr:rowOff>
    </xdr:to>
    <mc:AlternateContent xmlns:mc="http://schemas.openxmlformats.org/markup-compatibility/2006">
      <mc:Choice xmlns:a14="http://schemas.microsoft.com/office/drawing/2010/main" Requires="a14">
        <xdr:graphicFrame macro="">
          <xdr:nvGraphicFramePr>
            <xdr:cNvPr id="3" name="Products">
              <a:extLst>
                <a:ext uri="{FF2B5EF4-FFF2-40B4-BE49-F238E27FC236}">
                  <a16:creationId xmlns:a16="http://schemas.microsoft.com/office/drawing/2014/main" id="{576458A5-DD59-9F43-5603-15633FA892A7}"/>
                </a:ext>
              </a:extLst>
            </xdr:cNvPr>
            <xdr:cNvGraphicFramePr/>
          </xdr:nvGraphicFramePr>
          <xdr:xfrm>
            <a:off x="0" y="0"/>
            <a:ext cx="0" cy="0"/>
          </xdr:xfrm>
          <a:graphic>
            <a:graphicData uri="http://schemas.microsoft.com/office/drawing/2010/slicer">
              <sle:slicer xmlns:sle="http://schemas.microsoft.com/office/drawing/2010/slicer" name="Products"/>
            </a:graphicData>
          </a:graphic>
        </xdr:graphicFrame>
      </mc:Choice>
      <mc:Fallback>
        <xdr:sp macro="" textlink="">
          <xdr:nvSpPr>
            <xdr:cNvPr id="0" name=""/>
            <xdr:cNvSpPr>
              <a:spLocks noTextEdit="1"/>
            </xdr:cNvSpPr>
          </xdr:nvSpPr>
          <xdr:spPr>
            <a:xfrm>
              <a:off x="4800600" y="2522221"/>
              <a:ext cx="1828800" cy="8153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419100</xdr:colOff>
      <xdr:row>10</xdr:row>
      <xdr:rowOff>53341</xdr:rowOff>
    </xdr:from>
    <xdr:to>
      <xdr:col>16</xdr:col>
      <xdr:colOff>556260</xdr:colOff>
      <xdr:row>17</xdr:row>
      <xdr:rowOff>53341</xdr:rowOff>
    </xdr:to>
    <mc:AlternateContent xmlns:mc="http://schemas.openxmlformats.org/markup-compatibility/2006">
      <mc:Choice xmlns:a14="http://schemas.microsoft.com/office/drawing/2010/main" Requires="a14">
        <xdr:graphicFrame macro="">
          <xdr:nvGraphicFramePr>
            <xdr:cNvPr id="4" name="Place">
              <a:extLst>
                <a:ext uri="{FF2B5EF4-FFF2-40B4-BE49-F238E27FC236}">
                  <a16:creationId xmlns:a16="http://schemas.microsoft.com/office/drawing/2014/main" id="{8A3F2F68-458E-DF61-40C1-3ACA8D04E023}"/>
                </a:ext>
              </a:extLst>
            </xdr:cNvPr>
            <xdr:cNvGraphicFramePr/>
          </xdr:nvGraphicFramePr>
          <xdr:xfrm>
            <a:off x="0" y="0"/>
            <a:ext cx="0" cy="0"/>
          </xdr:xfrm>
          <a:graphic>
            <a:graphicData uri="http://schemas.microsoft.com/office/drawing/2010/slicer">
              <sle:slicer xmlns:sle="http://schemas.microsoft.com/office/drawing/2010/slicer" name="Place"/>
            </a:graphicData>
          </a:graphic>
        </xdr:graphicFrame>
      </mc:Choice>
      <mc:Fallback>
        <xdr:sp macro="" textlink="">
          <xdr:nvSpPr>
            <xdr:cNvPr id="0" name=""/>
            <xdr:cNvSpPr>
              <a:spLocks noTextEdit="1"/>
            </xdr:cNvSpPr>
          </xdr:nvSpPr>
          <xdr:spPr>
            <a:xfrm>
              <a:off x="7673340" y="1882141"/>
              <a:ext cx="3185160" cy="1280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129540</xdr:colOff>
      <xdr:row>8</xdr:row>
      <xdr:rowOff>148590</xdr:rowOff>
    </xdr:from>
    <xdr:to>
      <xdr:col>11</xdr:col>
      <xdr:colOff>434340</xdr:colOff>
      <xdr:row>23</xdr:row>
      <xdr:rowOff>148590</xdr:rowOff>
    </xdr:to>
    <xdr:graphicFrame macro="">
      <xdr:nvGraphicFramePr>
        <xdr:cNvPr id="5" name="Chart 4">
          <a:extLst>
            <a:ext uri="{FF2B5EF4-FFF2-40B4-BE49-F238E27FC236}">
              <a16:creationId xmlns:a16="http://schemas.microsoft.com/office/drawing/2014/main" id="{11A4828E-BAB0-E30C-4AD0-5391B649BC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68580</xdr:colOff>
      <xdr:row>8</xdr:row>
      <xdr:rowOff>148590</xdr:rowOff>
    </xdr:from>
    <xdr:to>
      <xdr:col>11</xdr:col>
      <xdr:colOff>373380</xdr:colOff>
      <xdr:row>23</xdr:row>
      <xdr:rowOff>148590</xdr:rowOff>
    </xdr:to>
    <xdr:graphicFrame macro="">
      <xdr:nvGraphicFramePr>
        <xdr:cNvPr id="6" name="Chart 5">
          <a:extLst>
            <a:ext uri="{FF2B5EF4-FFF2-40B4-BE49-F238E27FC236}">
              <a16:creationId xmlns:a16="http://schemas.microsoft.com/office/drawing/2014/main" id="{F6ABF00A-A2B1-F714-FF9A-0ACB63EB90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68580</xdr:colOff>
      <xdr:row>26</xdr:row>
      <xdr:rowOff>11430</xdr:rowOff>
    </xdr:from>
    <xdr:to>
      <xdr:col>11</xdr:col>
      <xdr:colOff>373380</xdr:colOff>
      <xdr:row>41</xdr:row>
      <xdr:rowOff>11430</xdr:rowOff>
    </xdr:to>
    <xdr:graphicFrame macro="">
      <xdr:nvGraphicFramePr>
        <xdr:cNvPr id="7" name="Chart 6">
          <a:extLst>
            <a:ext uri="{FF2B5EF4-FFF2-40B4-BE49-F238E27FC236}">
              <a16:creationId xmlns:a16="http://schemas.microsoft.com/office/drawing/2014/main" id="{E4FB169F-26B1-0F7E-5EEC-641658FF88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518160</xdr:colOff>
      <xdr:row>26</xdr:row>
      <xdr:rowOff>11430</xdr:rowOff>
    </xdr:from>
    <xdr:to>
      <xdr:col>14</xdr:col>
      <xdr:colOff>213360</xdr:colOff>
      <xdr:row>41</xdr:row>
      <xdr:rowOff>11430</xdr:rowOff>
    </xdr:to>
    <xdr:graphicFrame macro="">
      <xdr:nvGraphicFramePr>
        <xdr:cNvPr id="8" name="Chart 7">
          <a:extLst>
            <a:ext uri="{FF2B5EF4-FFF2-40B4-BE49-F238E27FC236}">
              <a16:creationId xmlns:a16="http://schemas.microsoft.com/office/drawing/2014/main" id="{901C7A4C-94A7-5814-1239-40E583A97A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68580</xdr:colOff>
      <xdr:row>35</xdr:row>
      <xdr:rowOff>19050</xdr:rowOff>
    </xdr:from>
    <xdr:to>
      <xdr:col>11</xdr:col>
      <xdr:colOff>373380</xdr:colOff>
      <xdr:row>50</xdr:row>
      <xdr:rowOff>19050</xdr:rowOff>
    </xdr:to>
    <xdr:graphicFrame macro="">
      <xdr:nvGraphicFramePr>
        <xdr:cNvPr id="9" name="Chart 8">
          <a:extLst>
            <a:ext uri="{FF2B5EF4-FFF2-40B4-BE49-F238E27FC236}">
              <a16:creationId xmlns:a16="http://schemas.microsoft.com/office/drawing/2014/main" id="{335D6267-3FE0-551B-8F2F-61ABE541CD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81.497955787039" createdVersion="8" refreshedVersion="8" minRefreshableVersion="3" recordCount="278" xr:uid="{F4A6A52B-1C24-4C04-924D-A92B5441B825}">
  <cacheSource type="worksheet">
    <worksheetSource ref="A1:G279" sheet="Master Data"/>
  </cacheSource>
  <cacheFields count="10">
    <cacheField name="Date" numFmtId="14">
      <sharedItems containsSemiMixedTypes="0" containsNonDate="0" containsDate="1" containsString="0" minDate="2020-01-01T00:00:00" maxDate="2022-12-31T00:00:00" count="278">
        <d v="2020-01-01T00:00:00"/>
        <d v="2020-01-05T00:00:00"/>
        <d v="2020-01-09T00:00:00"/>
        <d v="2020-01-13T00:00:00"/>
        <d v="2020-01-17T00:00:00"/>
        <d v="2020-01-21T00:00:00"/>
        <d v="2020-01-25T00:00:00"/>
        <d v="2020-01-29T00:00:00"/>
        <d v="2020-02-02T00:00:00"/>
        <d v="2020-02-06T00:00:00"/>
        <d v="2020-02-10T00:00:00"/>
        <d v="2020-02-14T00:00:00"/>
        <d v="2020-02-18T00:00:00"/>
        <d v="2020-02-22T00:00:00"/>
        <d v="2020-02-26T00:00:00"/>
        <d v="2020-03-01T00:00:00"/>
        <d v="2020-03-05T00:00:00"/>
        <d v="2020-03-09T00:00:00"/>
        <d v="2020-03-13T00:00:00"/>
        <d v="2020-03-17T00:00:00"/>
        <d v="2020-03-21T00:00:00"/>
        <d v="2020-03-25T00:00:00"/>
        <d v="2020-03-29T00:00:00"/>
        <d v="2020-04-02T00:00:00"/>
        <d v="2020-04-06T00:00:00"/>
        <d v="2020-04-10T00:00:00"/>
        <d v="2020-04-14T00:00:00"/>
        <d v="2020-04-18T00:00:00"/>
        <d v="2020-04-22T00:00:00"/>
        <d v="2020-04-26T00:00:00"/>
        <d v="2020-04-30T00:00:00"/>
        <d v="2020-05-04T00:00:00"/>
        <d v="2020-05-08T00:00:00"/>
        <d v="2020-05-12T00:00:00"/>
        <d v="2020-05-16T00:00:00"/>
        <d v="2020-05-20T00:00:00"/>
        <d v="2020-05-24T00:00:00"/>
        <d v="2020-05-28T00:00:00"/>
        <d v="2020-06-01T00:00:00"/>
        <d v="2020-06-05T00:00:00"/>
        <d v="2020-06-09T00:00:00"/>
        <d v="2020-06-13T00:00:00"/>
        <d v="2020-06-17T00:00:00"/>
        <d v="2020-06-21T00:00:00"/>
        <d v="2020-06-25T00:00:00"/>
        <d v="2020-06-29T00:00:00"/>
        <d v="2020-07-03T00:00:00"/>
        <d v="2020-07-07T00:00:00"/>
        <d v="2020-07-11T00:00:00"/>
        <d v="2020-07-15T00:00:00"/>
        <d v="2020-07-19T00:00:00"/>
        <d v="2020-07-23T00:00:00"/>
        <d v="2020-07-27T00:00:00"/>
        <d v="2020-07-31T00:00:00"/>
        <d v="2020-08-04T00:00:00"/>
        <d v="2020-08-08T00:00:00"/>
        <d v="2020-08-12T00:00:00"/>
        <d v="2020-08-16T00:00:00"/>
        <d v="2020-08-20T00:00:00"/>
        <d v="2020-08-24T00:00:00"/>
        <d v="2020-08-28T00:00:00"/>
        <d v="2020-09-01T00:00:00"/>
        <d v="2020-09-05T00:00:00"/>
        <d v="2020-09-09T00:00:00"/>
        <d v="2020-09-13T00:00:00"/>
        <d v="2020-09-17T00:00:00"/>
        <d v="2020-09-21T00:00:00"/>
        <d v="2020-09-25T00:00:00"/>
        <d v="2020-09-29T00:00:00"/>
        <d v="2020-10-03T00:00:00"/>
        <d v="2020-10-07T00:00:00"/>
        <d v="2020-10-11T00:00:00"/>
        <d v="2020-10-15T00:00:00"/>
        <d v="2020-10-19T00:00:00"/>
        <d v="2020-10-23T00:00:00"/>
        <d v="2020-10-27T00:00:00"/>
        <d v="2020-10-31T00:00:00"/>
        <d v="2020-11-04T00:00:00"/>
        <d v="2020-11-08T00:00:00"/>
        <d v="2020-11-12T00:00:00"/>
        <d v="2020-11-16T00:00:00"/>
        <d v="2020-11-20T00:00:00"/>
        <d v="2020-11-24T00:00:00"/>
        <d v="2020-11-28T00:00:00"/>
        <d v="2020-12-02T00:00:00"/>
        <d v="2020-12-06T00:00:00"/>
        <d v="2020-12-10T00:00:00"/>
        <d v="2020-12-14T00:00:00"/>
        <d v="2020-12-18T00:00:00"/>
        <d v="2020-12-22T00:00:00"/>
        <d v="2020-12-26T00:00:00"/>
        <d v="2020-12-30T00:00:00"/>
        <d v="2021-01-03T00:00:00"/>
        <d v="2021-01-07T00:00:00"/>
        <d v="2021-01-11T00:00:00"/>
        <d v="2021-01-15T00:00:00"/>
        <d v="2021-01-19T00:00:00"/>
        <d v="2021-01-23T00:00:00"/>
        <d v="2021-01-27T00:00:00"/>
        <d v="2021-01-31T00:00:00"/>
        <d v="2021-02-04T00:00:00"/>
        <d v="2021-02-08T00:00:00"/>
        <d v="2021-02-12T00:00:00"/>
        <d v="2021-02-16T00:00:00"/>
        <d v="2021-02-20T00:00:00"/>
        <d v="2021-02-24T00:00:00"/>
        <d v="2021-02-28T00:00:00"/>
        <d v="2021-03-04T00:00:00"/>
        <d v="2021-03-08T00:00:00"/>
        <d v="2021-03-12T00:00:00"/>
        <d v="2021-03-16T00:00:00"/>
        <d v="2021-03-20T00:00:00"/>
        <d v="2021-03-24T00:00:00"/>
        <d v="2021-03-28T00:00:00"/>
        <d v="2021-04-01T00:00:00"/>
        <d v="2021-04-05T00:00:00"/>
        <d v="2021-04-09T00:00:00"/>
        <d v="2021-04-13T00:00:00"/>
        <d v="2021-04-17T00:00:00"/>
        <d v="2021-04-21T00:00:00"/>
        <d v="2021-04-25T00:00:00"/>
        <d v="2021-04-29T00:00:00"/>
        <d v="2021-05-03T00:00:00"/>
        <d v="2021-05-07T00:00:00"/>
        <d v="2021-05-11T00:00:00"/>
        <d v="2021-05-15T00:00:00"/>
        <d v="2021-05-19T00:00:00"/>
        <d v="2021-05-23T00:00:00"/>
        <d v="2021-05-27T00:00:00"/>
        <d v="2021-05-31T00:00:00"/>
        <d v="2021-06-04T00:00:00"/>
        <d v="2021-06-08T00:00:00"/>
        <d v="2021-06-12T00:00:00"/>
        <d v="2021-06-16T00:00:00"/>
        <d v="2021-06-20T00:00:00"/>
        <d v="2021-06-24T00:00:00"/>
        <d v="2021-06-28T00:00:00"/>
        <d v="2021-07-02T00:00:00"/>
        <d v="2021-07-06T00:00:00"/>
        <d v="2021-07-10T00:00:00"/>
        <d v="2021-07-14T00:00:00"/>
        <d v="2021-07-18T00:00:00"/>
        <d v="2021-07-22T00:00:00"/>
        <d v="2021-07-26T00:00:00"/>
        <d v="2021-07-30T00:00:00"/>
        <d v="2021-08-03T00:00:00"/>
        <d v="2021-08-07T00:00:00"/>
        <d v="2021-08-11T00:00:00"/>
        <d v="2021-08-15T00:00:00"/>
        <d v="2021-08-19T00:00:00"/>
        <d v="2021-08-23T00:00:00"/>
        <d v="2021-08-27T00:00:00"/>
        <d v="2021-08-31T00:00:00"/>
        <d v="2021-09-04T00:00:00"/>
        <d v="2021-09-08T00:00:00"/>
        <d v="2021-09-12T00:00:00"/>
        <d v="2021-09-16T00:00:00"/>
        <d v="2021-09-20T00:00:00"/>
        <d v="2021-09-24T00:00:00"/>
        <d v="2021-09-28T00:00:00"/>
        <d v="2021-10-02T00:00:00"/>
        <d v="2021-10-06T00:00:00"/>
        <d v="2021-10-10T00:00:00"/>
        <d v="2021-10-14T00:00:00"/>
        <d v="2021-10-18T00:00:00"/>
        <d v="2021-10-22T00:00:00"/>
        <d v="2021-10-26T00:00:00"/>
        <d v="2021-10-30T00:00:00"/>
        <d v="2021-11-03T00:00:00"/>
        <d v="2021-11-07T00:00:00"/>
        <d v="2021-11-11T00:00:00"/>
        <d v="2021-11-15T00:00:00"/>
        <d v="2021-11-19T00:00:00"/>
        <d v="2021-11-23T00:00:00"/>
        <d v="2021-11-27T00:00:00"/>
        <d v="2021-12-01T00:00:00"/>
        <d v="2021-12-05T00:00:00"/>
        <d v="2021-12-09T00:00:00"/>
        <d v="2021-12-13T00:00:00"/>
        <d v="2021-12-17T00:00:00"/>
        <d v="2021-12-21T00:00:00"/>
        <d v="2021-12-25T00:00:00"/>
        <d v="2021-12-29T00:00:00"/>
        <d v="2022-01-02T00:00:00"/>
        <d v="2022-01-06T00:00:00"/>
        <d v="2022-01-10T00:00:00"/>
        <d v="2022-01-14T00:00:00"/>
        <d v="2022-01-18T00:00:00"/>
        <d v="2022-01-22T00:00:00"/>
        <d v="2022-01-26T00:00:00"/>
        <d v="2022-01-30T00:00:00"/>
        <d v="2022-02-03T00:00:00"/>
        <d v="2022-02-07T00:00:00"/>
        <d v="2022-02-11T00:00:00"/>
        <d v="2022-02-15T00:00:00"/>
        <d v="2022-02-19T00:00:00"/>
        <d v="2022-02-23T00:00:00"/>
        <d v="2022-02-27T00:00:00"/>
        <d v="2022-03-03T00:00:00"/>
        <d v="2022-03-07T00:00:00"/>
        <d v="2022-03-11T00:00:00"/>
        <d v="2022-03-15T00:00:00"/>
        <d v="2022-03-19T00:00:00"/>
        <d v="2022-03-23T00:00:00"/>
        <d v="2022-03-27T00:00:00"/>
        <d v="2022-03-31T00:00:00"/>
        <d v="2022-04-04T00:00:00"/>
        <d v="2022-04-08T00:00:00"/>
        <d v="2022-04-12T00:00:00"/>
        <d v="2022-04-16T00:00:00"/>
        <d v="2022-04-20T00:00:00"/>
        <d v="2022-04-24T00:00:00"/>
        <d v="2022-04-28T00:00:00"/>
        <d v="2022-05-02T00:00:00"/>
        <d v="2022-05-06T00:00:00"/>
        <d v="2022-05-10T00:00:00"/>
        <d v="2022-05-14T00:00:00"/>
        <d v="2022-05-18T00:00:00"/>
        <d v="2022-05-22T00:00:00"/>
        <d v="2022-05-26T00:00:00"/>
        <d v="2022-05-30T00:00:00"/>
        <d v="2022-06-03T00:00:00"/>
        <d v="2022-06-07T00:00:00"/>
        <d v="2022-06-11T00:00:00"/>
        <d v="2022-06-15T00:00:00"/>
        <d v="2022-06-19T00:00:00"/>
        <d v="2022-06-23T00:00:00"/>
        <d v="2022-06-27T00:00:00"/>
        <d v="2022-07-01T00:00:00"/>
        <d v="2022-07-05T00:00:00"/>
        <d v="2022-07-09T00:00:00"/>
        <d v="2022-07-13T00:00:00"/>
        <d v="2022-07-17T00:00:00"/>
        <d v="2022-07-21T00:00:00"/>
        <d v="2022-07-25T00:00:00"/>
        <d v="2022-07-29T00:00:00"/>
        <d v="2022-08-02T00:00:00"/>
        <d v="2022-08-06T00:00:00"/>
        <d v="2022-08-10T00:00:00"/>
        <d v="2022-08-14T00:00:00"/>
        <d v="2022-08-18T00:00:00"/>
        <d v="2022-08-22T00:00:00"/>
        <d v="2022-08-26T00:00:00"/>
        <d v="2022-08-30T00:00:00"/>
        <d v="2022-09-03T00:00:00"/>
        <d v="2022-09-07T00:00:00"/>
        <d v="2022-09-11T00:00:00"/>
        <d v="2022-09-15T00:00:00"/>
        <d v="2022-09-19T00:00:00"/>
        <d v="2022-09-23T00:00:00"/>
        <d v="2022-09-27T00:00:00"/>
        <d v="2022-10-01T00:00:00"/>
        <d v="2022-10-05T00:00:00"/>
        <d v="2022-10-09T00:00:00"/>
        <d v="2022-10-13T00:00:00"/>
        <d v="2022-10-17T00:00:00"/>
        <d v="2022-10-21T00:00:00"/>
        <d v="2022-10-25T00:00:00"/>
        <d v="2022-10-29T00:00:00"/>
        <d v="2022-11-02T00:00:00"/>
        <d v="2022-11-06T00:00:00"/>
        <d v="2022-11-10T00:00:00"/>
        <d v="2022-11-14T00:00:00"/>
        <d v="2022-11-18T00:00:00"/>
        <d v="2022-11-22T00:00:00"/>
        <d v="2022-11-26T00:00:00"/>
        <d v="2022-11-30T00:00:00"/>
        <d v="2022-12-04T00:00:00"/>
        <d v="2022-12-08T00:00:00"/>
        <d v="2022-12-12T00:00:00"/>
        <d v="2022-12-16T00:00:00"/>
        <d v="2022-12-20T00:00:00"/>
        <d v="2022-12-24T00:00:00"/>
        <d v="2022-12-28T00:00:00"/>
        <d v="2022-12-18T00:00:00"/>
        <d v="2022-12-22T00:00:00"/>
        <d v="2022-12-27T00:00:00"/>
        <d v="2022-12-30T00:00:00"/>
      </sharedItems>
      <fieldGroup par="9"/>
    </cacheField>
    <cacheField name="Sales Persons" numFmtId="0">
      <sharedItems count="6">
        <s v="Ramesh"/>
        <s v="Kiran"/>
        <s v="Gopi"/>
        <s v="Mahesh"/>
        <s v="Ganesh"/>
        <s v="Prathap"/>
      </sharedItems>
    </cacheField>
    <cacheField name="Products" numFmtId="0">
      <sharedItems count="6">
        <s v="Furniture"/>
        <s v="LED TV's"/>
        <s v="4K LED TV's"/>
        <s v="Mobiles"/>
        <s v="Laptops"/>
        <s v="Speakers"/>
      </sharedItems>
    </cacheField>
    <cacheField name="Place" numFmtId="0">
      <sharedItems count="6">
        <s v="Guntur"/>
        <s v="Vijayawada"/>
        <s v="Bapatla"/>
        <s v="Tenali"/>
        <s v="Chirala"/>
        <s v="Ongole"/>
      </sharedItems>
    </cacheField>
    <cacheField name="Price" numFmtId="0">
      <sharedItems containsSemiMixedTypes="0" containsString="0" containsNumber="1" containsInteger="1" minValue="89" maxValue="99620"/>
    </cacheField>
    <cacheField name="Units" numFmtId="0">
      <sharedItems containsSemiMixedTypes="0" containsString="0" containsNumber="1" containsInteger="1" minValue="4" maxValue="100"/>
    </cacheField>
    <cacheField name="Amount" numFmtId="3">
      <sharedItems containsSemiMixedTypes="0" containsString="0" containsNumber="1" containsInteger="1" minValue="720" maxValue="4250000" count="141">
        <n v="24950"/>
        <n v="184767"/>
        <n v="63800"/>
        <n v="4250000"/>
        <n v="165000"/>
        <n v="122400"/>
        <n v="858000"/>
        <n v="3354000"/>
        <n v="8910"/>
        <n v="229559"/>
        <n v="19461"/>
        <n v="7996"/>
        <n v="507200"/>
        <n v="40473"/>
        <n v="1200"/>
        <n v="203983"/>
        <n v="1282500"/>
        <n v="128957"/>
        <n v="80100"/>
        <n v="924000"/>
        <n v="7500"/>
        <n v="27972"/>
        <n v="18850"/>
        <n v="191992"/>
        <n v="456400"/>
        <n v="31455"/>
        <n v="56100"/>
        <n v="88000"/>
        <n v="220000"/>
        <n v="23984"/>
        <n v="2640"/>
        <n v="29000"/>
        <n v="45977"/>
        <n v="34400"/>
        <n v="738000"/>
        <n v="517963"/>
        <n v="990000"/>
        <n v="1349985"/>
        <n v="307978"/>
        <n v="58000"/>
        <n v="528000"/>
        <n v="374000"/>
        <n v="34950"/>
        <n v="1996"/>
        <n v="25370"/>
        <n v="24780"/>
        <n v="1080"/>
        <n v="2080000"/>
        <n v="111986"/>
        <n v="4950"/>
        <n v="799990"/>
        <n v="73963"/>
        <n v="2609971"/>
        <n v="3454000"/>
        <n v="123690"/>
        <n v="1508000"/>
        <n v="475966"/>
        <n v="3480"/>
        <n v="599975"/>
        <n v="1395000"/>
        <n v="7200"/>
        <n v="3120000"/>
        <n v="783200"/>
        <n v="4194"/>
        <n v="11880"/>
        <n v="19800"/>
        <n v="22485"/>
        <n v="12974"/>
        <n v="704000"/>
        <n v="195965"/>
        <n v="1947600"/>
        <n v="51000"/>
        <n v="68150"/>
        <n v="17400"/>
        <n v="391200"/>
        <n v="2132000"/>
        <n v="1711000"/>
        <n v="247969"/>
        <n v="1530000"/>
        <n v="42570"/>
        <n v="443963"/>
        <n v="6720"/>
        <n v="27550"/>
        <n v="2115000"/>
        <n v="55463"/>
        <n v="319996"/>
        <n v="44955"/>
        <n v="780000"/>
        <n v="2028000"/>
        <n v="31680"/>
        <n v="877500"/>
        <n v="98967"/>
        <n v="17500"/>
        <n v="4920"/>
        <n v="31900"/>
        <n v="95952"/>
        <n v="142100"/>
        <n v="35000"/>
        <n v="8200"/>
        <n v="1421000"/>
        <n v="201564"/>
        <n v="526500"/>
        <n v="719991"/>
        <n v="2857600"/>
        <n v="13750"/>
        <n v="30969"/>
        <n v="1100"/>
        <n v="31200"/>
        <n v="1600"/>
        <n v="26973"/>
        <n v="430200"/>
        <n v="644000"/>
        <n v="4100"/>
        <n v="2250000"/>
        <n v="108000"/>
        <n v="45000"/>
        <n v="35156"/>
        <n v="420500"/>
        <n v="38750"/>
        <n v="569600"/>
        <n v="264000"/>
        <n v="15360"/>
        <n v="3204"/>
        <n v="720"/>
        <n v="17110"/>
        <n v="33966"/>
        <n v="21150"/>
        <n v="49300"/>
        <n v="14471"/>
        <n v="3900"/>
        <n v="26600"/>
        <n v="720000"/>
        <n v="5760"/>
        <n v="563200"/>
        <n v="1195440"/>
        <n v="1287000"/>
        <n v="681500"/>
        <n v="250000"/>
        <n v="519240"/>
        <n v="24200"/>
        <n v="1242600"/>
      </sharedItems>
    </cacheField>
    <cacheField name="Months (Date)" numFmtId="0" databaseField="0">
      <fieldGroup base="0">
        <rangePr groupBy="months" startDate="2020-01-01T00:00:00" endDate="2022-12-31T00:00:00"/>
        <groupItems count="14">
          <s v="&lt;01-01-2020"/>
          <s v="Jan"/>
          <s v="Feb"/>
          <s v="Mar"/>
          <s v="Apr"/>
          <s v="May"/>
          <s v="Jun"/>
          <s v="Jul"/>
          <s v="Aug"/>
          <s v="Sep"/>
          <s v="Oct"/>
          <s v="Nov"/>
          <s v="Dec"/>
          <s v="&gt;31-12-2022"/>
        </groupItems>
      </fieldGroup>
    </cacheField>
    <cacheField name="Quarters (Date)" numFmtId="0" databaseField="0">
      <fieldGroup base="0">
        <rangePr groupBy="quarters" startDate="2020-01-01T00:00:00" endDate="2022-12-31T00:00:00"/>
        <groupItems count="6">
          <s v="&lt;01-01-2020"/>
          <s v="Qtr1"/>
          <s v="Qtr2"/>
          <s v="Qtr3"/>
          <s v="Qtr4"/>
          <s v="&gt;31-12-2022"/>
        </groupItems>
      </fieldGroup>
    </cacheField>
    <cacheField name="Years (Date)" numFmtId="0" databaseField="0">
      <fieldGroup base="0">
        <rangePr groupBy="years" startDate="2020-01-01T00:00:00" endDate="2022-12-31T00:00:00"/>
        <groupItems count="5">
          <s v="&lt;01-01-2020"/>
          <s v="2020"/>
          <s v="2021"/>
          <s v="2022"/>
          <s v="&gt;31-12-2022"/>
        </groupItems>
      </fieldGroup>
    </cacheField>
  </cacheFields>
  <extLst>
    <ext xmlns:x14="http://schemas.microsoft.com/office/spreadsheetml/2009/9/main" uri="{725AE2AE-9491-48be-B2B4-4EB974FC3084}">
      <x14:pivotCacheDefinition pivotCacheId="11222574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8">
  <r>
    <x v="0"/>
    <x v="0"/>
    <x v="0"/>
    <x v="0"/>
    <n v="499"/>
    <n v="50"/>
    <x v="0"/>
  </r>
  <r>
    <x v="1"/>
    <x v="1"/>
    <x v="0"/>
    <x v="1"/>
    <n v="5599"/>
    <n v="33"/>
    <x v="1"/>
  </r>
  <r>
    <x v="2"/>
    <x v="2"/>
    <x v="1"/>
    <x v="2"/>
    <n v="1450"/>
    <n v="44"/>
    <x v="2"/>
  </r>
  <r>
    <x v="3"/>
    <x v="3"/>
    <x v="2"/>
    <x v="0"/>
    <n v="85000"/>
    <n v="50"/>
    <x v="3"/>
  </r>
  <r>
    <x v="4"/>
    <x v="3"/>
    <x v="3"/>
    <x v="3"/>
    <n v="15000"/>
    <n v="11"/>
    <x v="4"/>
  </r>
  <r>
    <x v="5"/>
    <x v="1"/>
    <x v="0"/>
    <x v="3"/>
    <n v="2550"/>
    <n v="48"/>
    <x v="5"/>
  </r>
  <r>
    <x v="6"/>
    <x v="4"/>
    <x v="4"/>
    <x v="2"/>
    <n v="33000"/>
    <n v="26"/>
    <x v="6"/>
  </r>
  <r>
    <x v="7"/>
    <x v="0"/>
    <x v="2"/>
    <x v="4"/>
    <n v="86000"/>
    <n v="39"/>
    <x v="7"/>
  </r>
  <r>
    <x v="8"/>
    <x v="2"/>
    <x v="5"/>
    <x v="3"/>
    <n v="990"/>
    <n v="9"/>
    <x v="8"/>
  </r>
  <r>
    <x v="9"/>
    <x v="0"/>
    <x v="0"/>
    <x v="0"/>
    <n v="5599"/>
    <n v="41"/>
    <x v="9"/>
  </r>
  <r>
    <x v="10"/>
    <x v="4"/>
    <x v="4"/>
    <x v="2"/>
    <n v="499"/>
    <n v="39"/>
    <x v="10"/>
  </r>
  <r>
    <x v="11"/>
    <x v="1"/>
    <x v="5"/>
    <x v="0"/>
    <n v="1999"/>
    <n v="4"/>
    <x v="11"/>
  </r>
  <r>
    <x v="12"/>
    <x v="3"/>
    <x v="2"/>
    <x v="0"/>
    <n v="63400"/>
    <n v="8"/>
    <x v="12"/>
  </r>
  <r>
    <x v="13"/>
    <x v="5"/>
    <x v="5"/>
    <x v="3"/>
    <n v="1499"/>
    <n v="27"/>
    <x v="13"/>
  </r>
  <r>
    <x v="14"/>
    <x v="3"/>
    <x v="3"/>
    <x v="2"/>
    <n v="120"/>
    <n v="10"/>
    <x v="14"/>
  </r>
  <r>
    <x v="15"/>
    <x v="1"/>
    <x v="4"/>
    <x v="4"/>
    <n v="11999"/>
    <n v="17"/>
    <x v="15"/>
  </r>
  <r>
    <x v="16"/>
    <x v="2"/>
    <x v="2"/>
    <x v="1"/>
    <n v="47500"/>
    <n v="27"/>
    <x v="16"/>
  </r>
  <r>
    <x v="17"/>
    <x v="4"/>
    <x v="4"/>
    <x v="1"/>
    <n v="2999"/>
    <n v="43"/>
    <x v="17"/>
  </r>
  <r>
    <x v="18"/>
    <x v="3"/>
    <x v="3"/>
    <x v="1"/>
    <n v="8900"/>
    <n v="9"/>
    <x v="18"/>
  </r>
  <r>
    <x v="19"/>
    <x v="1"/>
    <x v="4"/>
    <x v="0"/>
    <n v="22000"/>
    <n v="42"/>
    <x v="19"/>
  </r>
  <r>
    <x v="20"/>
    <x v="2"/>
    <x v="1"/>
    <x v="1"/>
    <n v="1250"/>
    <n v="6"/>
    <x v="20"/>
  </r>
  <r>
    <x v="21"/>
    <x v="3"/>
    <x v="3"/>
    <x v="3"/>
    <n v="999"/>
    <n v="28"/>
    <x v="21"/>
  </r>
  <r>
    <x v="22"/>
    <x v="4"/>
    <x v="1"/>
    <x v="4"/>
    <n v="1450"/>
    <n v="13"/>
    <x v="22"/>
  </r>
  <r>
    <x v="23"/>
    <x v="4"/>
    <x v="1"/>
    <x v="2"/>
    <n v="23999"/>
    <n v="8"/>
    <x v="23"/>
  </r>
  <r>
    <x v="24"/>
    <x v="1"/>
    <x v="2"/>
    <x v="4"/>
    <n v="65200"/>
    <n v="7"/>
    <x v="24"/>
  </r>
  <r>
    <x v="25"/>
    <x v="1"/>
    <x v="5"/>
    <x v="1"/>
    <n v="699"/>
    <n v="45"/>
    <x v="25"/>
  </r>
  <r>
    <x v="26"/>
    <x v="0"/>
    <x v="0"/>
    <x v="0"/>
    <n v="2550"/>
    <n v="22"/>
    <x v="26"/>
  </r>
  <r>
    <x v="27"/>
    <x v="2"/>
    <x v="4"/>
    <x v="4"/>
    <n v="22000"/>
    <n v="4"/>
    <x v="27"/>
  </r>
  <r>
    <x v="28"/>
    <x v="4"/>
    <x v="2"/>
    <x v="0"/>
    <n v="22000"/>
    <n v="10"/>
    <x v="28"/>
  </r>
  <r>
    <x v="29"/>
    <x v="5"/>
    <x v="5"/>
    <x v="3"/>
    <n v="1499"/>
    <n v="16"/>
    <x v="29"/>
  </r>
  <r>
    <x v="30"/>
    <x v="1"/>
    <x v="3"/>
    <x v="4"/>
    <n v="120"/>
    <n v="22"/>
    <x v="30"/>
  </r>
  <r>
    <x v="31"/>
    <x v="0"/>
    <x v="0"/>
    <x v="2"/>
    <n v="1450"/>
    <n v="20"/>
    <x v="31"/>
  </r>
  <r>
    <x v="32"/>
    <x v="5"/>
    <x v="5"/>
    <x v="3"/>
    <n v="1999"/>
    <n v="23"/>
    <x v="32"/>
  </r>
  <r>
    <x v="33"/>
    <x v="1"/>
    <x v="0"/>
    <x v="0"/>
    <n v="800"/>
    <n v="43"/>
    <x v="33"/>
  </r>
  <r>
    <x v="34"/>
    <x v="2"/>
    <x v="3"/>
    <x v="3"/>
    <n v="18000"/>
    <n v="41"/>
    <x v="34"/>
  </r>
  <r>
    <x v="35"/>
    <x v="0"/>
    <x v="0"/>
    <x v="1"/>
    <n v="13999"/>
    <n v="37"/>
    <x v="35"/>
  </r>
  <r>
    <x v="36"/>
    <x v="1"/>
    <x v="4"/>
    <x v="3"/>
    <n v="22000"/>
    <n v="45"/>
    <x v="36"/>
  </r>
  <r>
    <x v="37"/>
    <x v="4"/>
    <x v="2"/>
    <x v="0"/>
    <n v="89999"/>
    <n v="15"/>
    <x v="37"/>
  </r>
  <r>
    <x v="38"/>
    <x v="0"/>
    <x v="0"/>
    <x v="2"/>
    <n v="13999"/>
    <n v="22"/>
    <x v="38"/>
  </r>
  <r>
    <x v="39"/>
    <x v="2"/>
    <x v="5"/>
    <x v="1"/>
    <n v="2900"/>
    <n v="20"/>
    <x v="39"/>
  </r>
  <r>
    <x v="40"/>
    <x v="1"/>
    <x v="4"/>
    <x v="3"/>
    <n v="33000"/>
    <n v="16"/>
    <x v="40"/>
  </r>
  <r>
    <x v="41"/>
    <x v="2"/>
    <x v="4"/>
    <x v="1"/>
    <n v="22000"/>
    <n v="17"/>
    <x v="41"/>
  </r>
  <r>
    <x v="42"/>
    <x v="5"/>
    <x v="5"/>
    <x v="1"/>
    <n v="699"/>
    <n v="50"/>
    <x v="42"/>
  </r>
  <r>
    <x v="43"/>
    <x v="4"/>
    <x v="4"/>
    <x v="2"/>
    <n v="499"/>
    <n v="4"/>
    <x v="43"/>
  </r>
  <r>
    <x v="44"/>
    <x v="1"/>
    <x v="5"/>
    <x v="3"/>
    <n v="590"/>
    <n v="43"/>
    <x v="44"/>
  </r>
  <r>
    <x v="45"/>
    <x v="5"/>
    <x v="5"/>
    <x v="1"/>
    <n v="590"/>
    <n v="42"/>
    <x v="45"/>
  </r>
  <r>
    <x v="46"/>
    <x v="1"/>
    <x v="2"/>
    <x v="0"/>
    <n v="120"/>
    <n v="9"/>
    <x v="46"/>
  </r>
  <r>
    <x v="47"/>
    <x v="4"/>
    <x v="4"/>
    <x v="4"/>
    <n v="52000"/>
    <n v="40"/>
    <x v="47"/>
  </r>
  <r>
    <x v="48"/>
    <x v="2"/>
    <x v="1"/>
    <x v="3"/>
    <n v="7999"/>
    <n v="14"/>
    <x v="48"/>
  </r>
  <r>
    <x v="49"/>
    <x v="1"/>
    <x v="1"/>
    <x v="4"/>
    <n v="550"/>
    <n v="9"/>
    <x v="49"/>
  </r>
  <r>
    <x v="50"/>
    <x v="2"/>
    <x v="2"/>
    <x v="3"/>
    <n v="79999"/>
    <n v="10"/>
    <x v="50"/>
  </r>
  <r>
    <x v="51"/>
    <x v="5"/>
    <x v="5"/>
    <x v="3"/>
    <n v="1999"/>
    <n v="37"/>
    <x v="51"/>
  </r>
  <r>
    <x v="52"/>
    <x v="4"/>
    <x v="4"/>
    <x v="2"/>
    <n v="89999"/>
    <n v="29"/>
    <x v="52"/>
  </r>
  <r>
    <x v="53"/>
    <x v="1"/>
    <x v="2"/>
    <x v="3"/>
    <n v="78500"/>
    <n v="44"/>
    <x v="53"/>
  </r>
  <r>
    <x v="54"/>
    <x v="4"/>
    <x v="4"/>
    <x v="1"/>
    <n v="3990"/>
    <n v="31"/>
    <x v="54"/>
  </r>
  <r>
    <x v="55"/>
    <x v="2"/>
    <x v="4"/>
    <x v="3"/>
    <n v="52000"/>
    <n v="29"/>
    <x v="55"/>
  </r>
  <r>
    <x v="56"/>
    <x v="0"/>
    <x v="2"/>
    <x v="3"/>
    <n v="13999"/>
    <n v="34"/>
    <x v="56"/>
  </r>
  <r>
    <x v="57"/>
    <x v="1"/>
    <x v="3"/>
    <x v="1"/>
    <n v="120"/>
    <n v="29"/>
    <x v="57"/>
  </r>
  <r>
    <x v="58"/>
    <x v="4"/>
    <x v="1"/>
    <x v="1"/>
    <n v="23999"/>
    <n v="25"/>
    <x v="58"/>
  </r>
  <r>
    <x v="59"/>
    <x v="4"/>
    <x v="2"/>
    <x v="3"/>
    <n v="45000"/>
    <n v="31"/>
    <x v="59"/>
  </r>
  <r>
    <x v="60"/>
    <x v="1"/>
    <x v="5"/>
    <x v="1"/>
    <n v="450"/>
    <n v="16"/>
    <x v="60"/>
  </r>
  <r>
    <x v="61"/>
    <x v="3"/>
    <x v="3"/>
    <x v="3"/>
    <n v="65000"/>
    <n v="48"/>
    <x v="61"/>
  </r>
  <r>
    <x v="62"/>
    <x v="2"/>
    <x v="2"/>
    <x v="4"/>
    <n v="35600"/>
    <n v="22"/>
    <x v="62"/>
  </r>
  <r>
    <x v="63"/>
    <x v="5"/>
    <x v="5"/>
    <x v="2"/>
    <n v="699"/>
    <n v="6"/>
    <x v="63"/>
  </r>
  <r>
    <x v="64"/>
    <x v="1"/>
    <x v="5"/>
    <x v="1"/>
    <n v="990"/>
    <n v="12"/>
    <x v="64"/>
  </r>
  <r>
    <x v="65"/>
    <x v="5"/>
    <x v="2"/>
    <x v="0"/>
    <n v="450"/>
    <n v="44"/>
    <x v="65"/>
  </r>
  <r>
    <x v="66"/>
    <x v="5"/>
    <x v="5"/>
    <x v="2"/>
    <n v="1499"/>
    <n v="15"/>
    <x v="66"/>
  </r>
  <r>
    <x v="67"/>
    <x v="0"/>
    <x v="0"/>
    <x v="4"/>
    <n v="499"/>
    <n v="26"/>
    <x v="67"/>
  </r>
  <r>
    <x v="68"/>
    <x v="2"/>
    <x v="2"/>
    <x v="4"/>
    <n v="44000"/>
    <n v="16"/>
    <x v="68"/>
  </r>
  <r>
    <x v="69"/>
    <x v="0"/>
    <x v="0"/>
    <x v="3"/>
    <n v="5599"/>
    <n v="35"/>
    <x v="69"/>
  </r>
  <r>
    <x v="70"/>
    <x v="3"/>
    <x v="2"/>
    <x v="0"/>
    <n v="54100"/>
    <n v="36"/>
    <x v="70"/>
  </r>
  <r>
    <x v="71"/>
    <x v="0"/>
    <x v="0"/>
    <x v="2"/>
    <n v="2550"/>
    <n v="20"/>
    <x v="71"/>
  </r>
  <r>
    <x v="72"/>
    <x v="1"/>
    <x v="2"/>
    <x v="2"/>
    <n v="1450"/>
    <n v="47"/>
    <x v="72"/>
  </r>
  <r>
    <x v="73"/>
    <x v="5"/>
    <x v="5"/>
    <x v="3"/>
    <n v="2900"/>
    <n v="6"/>
    <x v="73"/>
  </r>
  <r>
    <x v="74"/>
    <x v="3"/>
    <x v="2"/>
    <x v="4"/>
    <n v="65200"/>
    <n v="6"/>
    <x v="74"/>
  </r>
  <r>
    <x v="75"/>
    <x v="1"/>
    <x v="4"/>
    <x v="4"/>
    <n v="52000"/>
    <n v="41"/>
    <x v="75"/>
  </r>
  <r>
    <x v="76"/>
    <x v="2"/>
    <x v="2"/>
    <x v="1"/>
    <n v="59000"/>
    <n v="29"/>
    <x v="76"/>
  </r>
  <r>
    <x v="77"/>
    <x v="4"/>
    <x v="1"/>
    <x v="4"/>
    <n v="7999"/>
    <n v="31"/>
    <x v="77"/>
  </r>
  <r>
    <x v="78"/>
    <x v="1"/>
    <x v="3"/>
    <x v="1"/>
    <n v="45000"/>
    <n v="34"/>
    <x v="78"/>
  </r>
  <r>
    <x v="79"/>
    <x v="5"/>
    <x v="5"/>
    <x v="0"/>
    <n v="990"/>
    <n v="43"/>
    <x v="79"/>
  </r>
  <r>
    <x v="80"/>
    <x v="4"/>
    <x v="4"/>
    <x v="0"/>
    <n v="11999"/>
    <n v="37"/>
    <x v="80"/>
  </r>
  <r>
    <x v="81"/>
    <x v="4"/>
    <x v="1"/>
    <x v="0"/>
    <n v="960"/>
    <n v="7"/>
    <x v="81"/>
  </r>
  <r>
    <x v="82"/>
    <x v="1"/>
    <x v="0"/>
    <x v="2"/>
    <n v="1450"/>
    <n v="19"/>
    <x v="82"/>
  </r>
  <r>
    <x v="83"/>
    <x v="2"/>
    <x v="2"/>
    <x v="1"/>
    <n v="45000"/>
    <n v="47"/>
    <x v="83"/>
  </r>
  <r>
    <x v="84"/>
    <x v="1"/>
    <x v="5"/>
    <x v="1"/>
    <n v="1499"/>
    <n v="37"/>
    <x v="84"/>
  </r>
  <r>
    <x v="85"/>
    <x v="4"/>
    <x v="4"/>
    <x v="2"/>
    <n v="79999"/>
    <n v="4"/>
    <x v="85"/>
  </r>
  <r>
    <x v="86"/>
    <x v="3"/>
    <x v="2"/>
    <x v="4"/>
    <n v="999"/>
    <n v="45"/>
    <x v="86"/>
  </r>
  <r>
    <x v="87"/>
    <x v="1"/>
    <x v="4"/>
    <x v="0"/>
    <n v="52000"/>
    <n v="15"/>
    <x v="87"/>
  </r>
  <r>
    <x v="88"/>
    <x v="2"/>
    <x v="2"/>
    <x v="3"/>
    <n v="52000"/>
    <n v="39"/>
    <x v="88"/>
  </r>
  <r>
    <x v="89"/>
    <x v="4"/>
    <x v="1"/>
    <x v="2"/>
    <n v="960"/>
    <n v="33"/>
    <x v="89"/>
  </r>
  <r>
    <x v="90"/>
    <x v="4"/>
    <x v="2"/>
    <x v="3"/>
    <n v="19500"/>
    <n v="45"/>
    <x v="90"/>
  </r>
  <r>
    <x v="91"/>
    <x v="4"/>
    <x v="4"/>
    <x v="3"/>
    <n v="2999"/>
    <n v="33"/>
    <x v="91"/>
  </r>
  <r>
    <x v="92"/>
    <x v="1"/>
    <x v="1"/>
    <x v="4"/>
    <n v="1250"/>
    <n v="14"/>
    <x v="92"/>
  </r>
  <r>
    <x v="93"/>
    <x v="1"/>
    <x v="3"/>
    <x v="0"/>
    <n v="120"/>
    <n v="41"/>
    <x v="93"/>
  </r>
  <r>
    <x v="94"/>
    <x v="2"/>
    <x v="0"/>
    <x v="3"/>
    <n v="1450"/>
    <n v="22"/>
    <x v="94"/>
  </r>
  <r>
    <x v="95"/>
    <x v="4"/>
    <x v="4"/>
    <x v="0"/>
    <n v="89999"/>
    <n v="15"/>
    <x v="37"/>
  </r>
  <r>
    <x v="96"/>
    <x v="5"/>
    <x v="2"/>
    <x v="2"/>
    <n v="1999"/>
    <n v="48"/>
    <x v="95"/>
  </r>
  <r>
    <x v="97"/>
    <x v="5"/>
    <x v="5"/>
    <x v="3"/>
    <n v="2900"/>
    <n v="49"/>
    <x v="96"/>
  </r>
  <r>
    <x v="98"/>
    <x v="4"/>
    <x v="4"/>
    <x v="4"/>
    <n v="700"/>
    <n v="50"/>
    <x v="97"/>
  </r>
  <r>
    <x v="99"/>
    <x v="3"/>
    <x v="3"/>
    <x v="3"/>
    <n v="200"/>
    <n v="41"/>
    <x v="98"/>
  </r>
  <r>
    <x v="100"/>
    <x v="2"/>
    <x v="2"/>
    <x v="1"/>
    <n v="49000"/>
    <n v="29"/>
    <x v="99"/>
  </r>
  <r>
    <x v="101"/>
    <x v="0"/>
    <x v="0"/>
    <x v="4"/>
    <n v="5599"/>
    <n v="36"/>
    <x v="100"/>
  </r>
  <r>
    <x v="102"/>
    <x v="3"/>
    <x v="3"/>
    <x v="3"/>
    <n v="13500"/>
    <n v="39"/>
    <x v="101"/>
  </r>
  <r>
    <x v="103"/>
    <x v="2"/>
    <x v="4"/>
    <x v="3"/>
    <n v="79999"/>
    <n v="9"/>
    <x v="102"/>
  </r>
  <r>
    <x v="104"/>
    <x v="4"/>
    <x v="2"/>
    <x v="2"/>
    <n v="75200"/>
    <n v="38"/>
    <x v="103"/>
  </r>
  <r>
    <x v="105"/>
    <x v="4"/>
    <x v="1"/>
    <x v="0"/>
    <n v="550"/>
    <n v="25"/>
    <x v="104"/>
  </r>
  <r>
    <x v="106"/>
    <x v="0"/>
    <x v="0"/>
    <x v="0"/>
    <n v="499"/>
    <n v="50"/>
    <x v="0"/>
  </r>
  <r>
    <x v="107"/>
    <x v="0"/>
    <x v="0"/>
    <x v="1"/>
    <n v="5599"/>
    <n v="33"/>
    <x v="1"/>
  </r>
  <r>
    <x v="108"/>
    <x v="2"/>
    <x v="1"/>
    <x v="2"/>
    <n v="1450"/>
    <n v="44"/>
    <x v="2"/>
  </r>
  <r>
    <x v="109"/>
    <x v="3"/>
    <x v="3"/>
    <x v="0"/>
    <n v="999"/>
    <n v="31"/>
    <x v="105"/>
  </r>
  <r>
    <x v="110"/>
    <x v="3"/>
    <x v="3"/>
    <x v="3"/>
    <n v="100"/>
    <n v="11"/>
    <x v="106"/>
  </r>
  <r>
    <x v="111"/>
    <x v="2"/>
    <x v="0"/>
    <x v="3"/>
    <n v="2550"/>
    <n v="48"/>
    <x v="5"/>
  </r>
  <r>
    <x v="112"/>
    <x v="4"/>
    <x v="4"/>
    <x v="3"/>
    <n v="33000"/>
    <n v="26"/>
    <x v="6"/>
  </r>
  <r>
    <x v="113"/>
    <x v="1"/>
    <x v="0"/>
    <x v="2"/>
    <n v="800"/>
    <n v="39"/>
    <x v="107"/>
  </r>
  <r>
    <x v="114"/>
    <x v="5"/>
    <x v="5"/>
    <x v="2"/>
    <n v="990"/>
    <n v="9"/>
    <x v="8"/>
  </r>
  <r>
    <x v="115"/>
    <x v="0"/>
    <x v="0"/>
    <x v="0"/>
    <n v="5599"/>
    <n v="41"/>
    <x v="9"/>
  </r>
  <r>
    <x v="116"/>
    <x v="4"/>
    <x v="4"/>
    <x v="0"/>
    <n v="499"/>
    <n v="39"/>
    <x v="10"/>
  </r>
  <r>
    <x v="117"/>
    <x v="5"/>
    <x v="5"/>
    <x v="0"/>
    <n v="1999"/>
    <n v="4"/>
    <x v="11"/>
  </r>
  <r>
    <x v="118"/>
    <x v="2"/>
    <x v="3"/>
    <x v="0"/>
    <n v="200"/>
    <n v="8"/>
    <x v="108"/>
  </r>
  <r>
    <x v="119"/>
    <x v="5"/>
    <x v="5"/>
    <x v="2"/>
    <n v="1499"/>
    <n v="27"/>
    <x v="13"/>
  </r>
  <r>
    <x v="120"/>
    <x v="3"/>
    <x v="3"/>
    <x v="4"/>
    <n v="120"/>
    <n v="10"/>
    <x v="14"/>
  </r>
  <r>
    <x v="121"/>
    <x v="1"/>
    <x v="4"/>
    <x v="4"/>
    <n v="11999"/>
    <n v="17"/>
    <x v="15"/>
  </r>
  <r>
    <x v="122"/>
    <x v="1"/>
    <x v="4"/>
    <x v="1"/>
    <n v="999"/>
    <n v="27"/>
    <x v="109"/>
  </r>
  <r>
    <x v="123"/>
    <x v="2"/>
    <x v="4"/>
    <x v="2"/>
    <n v="2999"/>
    <n v="43"/>
    <x v="17"/>
  </r>
  <r>
    <x v="124"/>
    <x v="3"/>
    <x v="2"/>
    <x v="1"/>
    <n v="47800"/>
    <n v="9"/>
    <x v="110"/>
  </r>
  <r>
    <x v="125"/>
    <x v="4"/>
    <x v="2"/>
    <x v="0"/>
    <n v="22000"/>
    <n v="42"/>
    <x v="19"/>
  </r>
  <r>
    <x v="126"/>
    <x v="4"/>
    <x v="1"/>
    <x v="1"/>
    <n v="1250"/>
    <n v="6"/>
    <x v="20"/>
  </r>
  <r>
    <x v="127"/>
    <x v="3"/>
    <x v="3"/>
    <x v="2"/>
    <n v="999"/>
    <n v="28"/>
    <x v="21"/>
  </r>
  <r>
    <x v="128"/>
    <x v="4"/>
    <x v="1"/>
    <x v="4"/>
    <n v="1450"/>
    <n v="13"/>
    <x v="22"/>
  </r>
  <r>
    <x v="129"/>
    <x v="4"/>
    <x v="1"/>
    <x v="4"/>
    <n v="23999"/>
    <n v="8"/>
    <x v="23"/>
  </r>
  <r>
    <x v="130"/>
    <x v="1"/>
    <x v="2"/>
    <x v="4"/>
    <n v="92000"/>
    <n v="7"/>
    <x v="111"/>
  </r>
  <r>
    <x v="131"/>
    <x v="5"/>
    <x v="5"/>
    <x v="2"/>
    <n v="699"/>
    <n v="45"/>
    <x v="25"/>
  </r>
  <r>
    <x v="132"/>
    <x v="0"/>
    <x v="0"/>
    <x v="0"/>
    <n v="2550"/>
    <n v="22"/>
    <x v="26"/>
  </r>
  <r>
    <x v="133"/>
    <x v="2"/>
    <x v="4"/>
    <x v="4"/>
    <n v="22000"/>
    <n v="4"/>
    <x v="27"/>
  </r>
  <r>
    <x v="134"/>
    <x v="4"/>
    <x v="4"/>
    <x v="0"/>
    <n v="22000"/>
    <n v="10"/>
    <x v="28"/>
  </r>
  <r>
    <x v="135"/>
    <x v="1"/>
    <x v="5"/>
    <x v="2"/>
    <n v="1499"/>
    <n v="16"/>
    <x v="29"/>
  </r>
  <r>
    <x v="136"/>
    <x v="3"/>
    <x v="3"/>
    <x v="4"/>
    <n v="120"/>
    <n v="22"/>
    <x v="30"/>
  </r>
  <r>
    <x v="137"/>
    <x v="0"/>
    <x v="0"/>
    <x v="1"/>
    <n v="1450"/>
    <n v="20"/>
    <x v="31"/>
  </r>
  <r>
    <x v="138"/>
    <x v="5"/>
    <x v="5"/>
    <x v="2"/>
    <n v="1999"/>
    <n v="23"/>
    <x v="32"/>
  </r>
  <r>
    <x v="139"/>
    <x v="1"/>
    <x v="0"/>
    <x v="5"/>
    <n v="800"/>
    <n v="43"/>
    <x v="33"/>
  </r>
  <r>
    <x v="140"/>
    <x v="3"/>
    <x v="3"/>
    <x v="4"/>
    <n v="100"/>
    <n v="41"/>
    <x v="112"/>
  </r>
  <r>
    <x v="141"/>
    <x v="0"/>
    <x v="2"/>
    <x v="4"/>
    <n v="13999"/>
    <n v="37"/>
    <x v="35"/>
  </r>
  <r>
    <x v="142"/>
    <x v="2"/>
    <x v="4"/>
    <x v="3"/>
    <n v="22000"/>
    <n v="45"/>
    <x v="36"/>
  </r>
  <r>
    <x v="143"/>
    <x v="4"/>
    <x v="4"/>
    <x v="5"/>
    <n v="89999"/>
    <n v="15"/>
    <x v="37"/>
  </r>
  <r>
    <x v="144"/>
    <x v="0"/>
    <x v="0"/>
    <x v="3"/>
    <n v="13999"/>
    <n v="22"/>
    <x v="38"/>
  </r>
  <r>
    <x v="145"/>
    <x v="1"/>
    <x v="5"/>
    <x v="2"/>
    <n v="2900"/>
    <n v="20"/>
    <x v="39"/>
  </r>
  <r>
    <x v="146"/>
    <x v="4"/>
    <x v="4"/>
    <x v="3"/>
    <n v="33000"/>
    <n v="16"/>
    <x v="40"/>
  </r>
  <r>
    <x v="147"/>
    <x v="1"/>
    <x v="4"/>
    <x v="1"/>
    <n v="22000"/>
    <n v="17"/>
    <x v="41"/>
  </r>
  <r>
    <x v="148"/>
    <x v="1"/>
    <x v="5"/>
    <x v="1"/>
    <n v="45000"/>
    <n v="50"/>
    <x v="113"/>
  </r>
  <r>
    <x v="149"/>
    <x v="4"/>
    <x v="2"/>
    <x v="2"/>
    <n v="499"/>
    <n v="4"/>
    <x v="43"/>
  </r>
  <r>
    <x v="150"/>
    <x v="5"/>
    <x v="5"/>
    <x v="3"/>
    <n v="590"/>
    <n v="43"/>
    <x v="44"/>
  </r>
  <r>
    <x v="151"/>
    <x v="2"/>
    <x v="5"/>
    <x v="1"/>
    <n v="590"/>
    <n v="42"/>
    <x v="45"/>
  </r>
  <r>
    <x v="152"/>
    <x v="3"/>
    <x v="3"/>
    <x v="0"/>
    <n v="12000"/>
    <n v="9"/>
    <x v="114"/>
  </r>
  <r>
    <x v="153"/>
    <x v="4"/>
    <x v="4"/>
    <x v="5"/>
    <n v="52000"/>
    <n v="40"/>
    <x v="47"/>
  </r>
  <r>
    <x v="154"/>
    <x v="4"/>
    <x v="1"/>
    <x v="3"/>
    <n v="7999"/>
    <n v="14"/>
    <x v="48"/>
  </r>
  <r>
    <x v="155"/>
    <x v="1"/>
    <x v="1"/>
    <x v="4"/>
    <n v="5000"/>
    <n v="9"/>
    <x v="115"/>
  </r>
  <r>
    <x v="156"/>
    <x v="4"/>
    <x v="4"/>
    <x v="3"/>
    <n v="79999"/>
    <n v="10"/>
    <x v="50"/>
  </r>
  <r>
    <x v="157"/>
    <x v="5"/>
    <x v="2"/>
    <x v="2"/>
    <n v="1999"/>
    <n v="37"/>
    <x v="51"/>
  </r>
  <r>
    <x v="158"/>
    <x v="4"/>
    <x v="4"/>
    <x v="3"/>
    <n v="89999"/>
    <n v="29"/>
    <x v="52"/>
  </r>
  <r>
    <x v="159"/>
    <x v="2"/>
    <x v="4"/>
    <x v="0"/>
    <n v="799"/>
    <n v="44"/>
    <x v="116"/>
  </r>
  <r>
    <x v="160"/>
    <x v="4"/>
    <x v="4"/>
    <x v="1"/>
    <n v="3990"/>
    <n v="31"/>
    <x v="54"/>
  </r>
  <r>
    <x v="161"/>
    <x v="1"/>
    <x v="4"/>
    <x v="2"/>
    <n v="52000"/>
    <n v="29"/>
    <x v="55"/>
  </r>
  <r>
    <x v="162"/>
    <x v="1"/>
    <x v="0"/>
    <x v="3"/>
    <n v="13999"/>
    <n v="34"/>
    <x v="56"/>
  </r>
  <r>
    <x v="163"/>
    <x v="3"/>
    <x v="3"/>
    <x v="2"/>
    <n v="14500"/>
    <n v="29"/>
    <x v="117"/>
  </r>
  <r>
    <x v="164"/>
    <x v="4"/>
    <x v="1"/>
    <x v="5"/>
    <n v="23999"/>
    <n v="25"/>
    <x v="58"/>
  </r>
  <r>
    <x v="165"/>
    <x v="4"/>
    <x v="1"/>
    <x v="3"/>
    <n v="1250"/>
    <n v="31"/>
    <x v="118"/>
  </r>
  <r>
    <x v="166"/>
    <x v="5"/>
    <x v="2"/>
    <x v="3"/>
    <n v="35600"/>
    <n v="16"/>
    <x v="119"/>
  </r>
  <r>
    <x v="167"/>
    <x v="3"/>
    <x v="3"/>
    <x v="3"/>
    <n v="65000"/>
    <n v="48"/>
    <x v="61"/>
  </r>
  <r>
    <x v="168"/>
    <x v="2"/>
    <x v="3"/>
    <x v="5"/>
    <n v="12000"/>
    <n v="22"/>
    <x v="120"/>
  </r>
  <r>
    <x v="169"/>
    <x v="5"/>
    <x v="5"/>
    <x v="3"/>
    <n v="699"/>
    <n v="6"/>
    <x v="63"/>
  </r>
  <r>
    <x v="170"/>
    <x v="5"/>
    <x v="2"/>
    <x v="2"/>
    <n v="990"/>
    <n v="12"/>
    <x v="64"/>
  </r>
  <r>
    <x v="171"/>
    <x v="5"/>
    <x v="5"/>
    <x v="0"/>
    <n v="450"/>
    <n v="44"/>
    <x v="65"/>
  </r>
  <r>
    <x v="172"/>
    <x v="5"/>
    <x v="2"/>
    <x v="0"/>
    <n v="1499"/>
    <n v="15"/>
    <x v="66"/>
  </r>
  <r>
    <x v="173"/>
    <x v="0"/>
    <x v="0"/>
    <x v="4"/>
    <n v="499"/>
    <n v="26"/>
    <x v="67"/>
  </r>
  <r>
    <x v="174"/>
    <x v="4"/>
    <x v="1"/>
    <x v="4"/>
    <n v="960"/>
    <n v="16"/>
    <x v="121"/>
  </r>
  <r>
    <x v="175"/>
    <x v="2"/>
    <x v="2"/>
    <x v="3"/>
    <n v="5599"/>
    <n v="35"/>
    <x v="69"/>
  </r>
  <r>
    <x v="176"/>
    <x v="3"/>
    <x v="3"/>
    <x v="0"/>
    <n v="89"/>
    <n v="36"/>
    <x v="122"/>
  </r>
  <r>
    <x v="177"/>
    <x v="0"/>
    <x v="0"/>
    <x v="2"/>
    <n v="2550"/>
    <n v="20"/>
    <x v="71"/>
  </r>
  <r>
    <x v="178"/>
    <x v="0"/>
    <x v="0"/>
    <x v="0"/>
    <n v="1450"/>
    <n v="47"/>
    <x v="72"/>
  </r>
  <r>
    <x v="179"/>
    <x v="5"/>
    <x v="5"/>
    <x v="3"/>
    <n v="2900"/>
    <n v="6"/>
    <x v="73"/>
  </r>
  <r>
    <x v="180"/>
    <x v="3"/>
    <x v="3"/>
    <x v="4"/>
    <n v="120"/>
    <n v="6"/>
    <x v="123"/>
  </r>
  <r>
    <x v="181"/>
    <x v="4"/>
    <x v="4"/>
    <x v="4"/>
    <n v="52000"/>
    <n v="41"/>
    <x v="75"/>
  </r>
  <r>
    <x v="182"/>
    <x v="5"/>
    <x v="5"/>
    <x v="2"/>
    <n v="590"/>
    <n v="29"/>
    <x v="124"/>
  </r>
  <r>
    <x v="183"/>
    <x v="4"/>
    <x v="2"/>
    <x v="5"/>
    <n v="7999"/>
    <n v="31"/>
    <x v="77"/>
  </r>
  <r>
    <x v="184"/>
    <x v="1"/>
    <x v="3"/>
    <x v="2"/>
    <n v="999"/>
    <n v="34"/>
    <x v="125"/>
  </r>
  <r>
    <x v="185"/>
    <x v="2"/>
    <x v="5"/>
    <x v="0"/>
    <n v="990"/>
    <n v="43"/>
    <x v="79"/>
  </r>
  <r>
    <x v="186"/>
    <x v="4"/>
    <x v="4"/>
    <x v="0"/>
    <n v="11999"/>
    <n v="37"/>
    <x v="80"/>
  </r>
  <r>
    <x v="187"/>
    <x v="4"/>
    <x v="1"/>
    <x v="0"/>
    <n v="960"/>
    <n v="7"/>
    <x v="81"/>
  </r>
  <r>
    <x v="188"/>
    <x v="0"/>
    <x v="0"/>
    <x v="2"/>
    <n v="1450"/>
    <n v="19"/>
    <x v="82"/>
  </r>
  <r>
    <x v="189"/>
    <x v="5"/>
    <x v="5"/>
    <x v="1"/>
    <n v="450"/>
    <n v="47"/>
    <x v="126"/>
  </r>
  <r>
    <x v="190"/>
    <x v="1"/>
    <x v="5"/>
    <x v="2"/>
    <n v="1499"/>
    <n v="37"/>
    <x v="84"/>
  </r>
  <r>
    <x v="191"/>
    <x v="2"/>
    <x v="4"/>
    <x v="1"/>
    <n v="79999"/>
    <n v="4"/>
    <x v="85"/>
  </r>
  <r>
    <x v="192"/>
    <x v="2"/>
    <x v="3"/>
    <x v="4"/>
    <n v="999"/>
    <n v="45"/>
    <x v="86"/>
  </r>
  <r>
    <x v="193"/>
    <x v="4"/>
    <x v="4"/>
    <x v="0"/>
    <n v="52000"/>
    <n v="15"/>
    <x v="87"/>
  </r>
  <r>
    <x v="194"/>
    <x v="4"/>
    <x v="4"/>
    <x v="3"/>
    <n v="52000"/>
    <n v="39"/>
    <x v="88"/>
  </r>
  <r>
    <x v="195"/>
    <x v="4"/>
    <x v="1"/>
    <x v="2"/>
    <n v="960"/>
    <n v="33"/>
    <x v="89"/>
  </r>
  <r>
    <x v="196"/>
    <x v="4"/>
    <x v="1"/>
    <x v="2"/>
    <n v="1450"/>
    <n v="34"/>
    <x v="127"/>
  </r>
  <r>
    <x v="197"/>
    <x v="4"/>
    <x v="2"/>
    <x v="3"/>
    <n v="2999"/>
    <n v="33"/>
    <x v="91"/>
  </r>
  <r>
    <x v="198"/>
    <x v="2"/>
    <x v="1"/>
    <x v="4"/>
    <n v="1250"/>
    <n v="14"/>
    <x v="92"/>
  </r>
  <r>
    <x v="199"/>
    <x v="3"/>
    <x v="3"/>
    <x v="0"/>
    <n v="120"/>
    <n v="41"/>
    <x v="93"/>
  </r>
  <r>
    <x v="200"/>
    <x v="1"/>
    <x v="0"/>
    <x v="3"/>
    <n v="1450"/>
    <n v="22"/>
    <x v="94"/>
  </r>
  <r>
    <x v="201"/>
    <x v="1"/>
    <x v="4"/>
    <x v="0"/>
    <n v="89999"/>
    <n v="15"/>
    <x v="37"/>
  </r>
  <r>
    <x v="202"/>
    <x v="5"/>
    <x v="5"/>
    <x v="2"/>
    <n v="1999"/>
    <n v="48"/>
    <x v="95"/>
  </r>
  <r>
    <x v="203"/>
    <x v="5"/>
    <x v="2"/>
    <x v="3"/>
    <n v="2900"/>
    <n v="49"/>
    <x v="96"/>
  </r>
  <r>
    <x v="204"/>
    <x v="4"/>
    <x v="4"/>
    <x v="4"/>
    <n v="700"/>
    <n v="50"/>
    <x v="97"/>
  </r>
  <r>
    <x v="205"/>
    <x v="3"/>
    <x v="3"/>
    <x v="3"/>
    <n v="200"/>
    <n v="41"/>
    <x v="98"/>
  </r>
  <r>
    <x v="206"/>
    <x v="0"/>
    <x v="0"/>
    <x v="2"/>
    <n v="499"/>
    <n v="29"/>
    <x v="128"/>
  </r>
  <r>
    <x v="207"/>
    <x v="2"/>
    <x v="0"/>
    <x v="5"/>
    <n v="5599"/>
    <n v="36"/>
    <x v="100"/>
  </r>
  <r>
    <x v="208"/>
    <x v="1"/>
    <x v="3"/>
    <x v="3"/>
    <n v="100"/>
    <n v="39"/>
    <x v="129"/>
  </r>
  <r>
    <x v="209"/>
    <x v="4"/>
    <x v="2"/>
    <x v="3"/>
    <n v="79999"/>
    <n v="9"/>
    <x v="102"/>
  </r>
  <r>
    <x v="210"/>
    <x v="2"/>
    <x v="4"/>
    <x v="2"/>
    <n v="700"/>
    <n v="38"/>
    <x v="130"/>
  </r>
  <r>
    <x v="211"/>
    <x v="4"/>
    <x v="1"/>
    <x v="0"/>
    <n v="550"/>
    <n v="25"/>
    <x v="104"/>
  </r>
  <r>
    <x v="212"/>
    <x v="5"/>
    <x v="5"/>
    <x v="3"/>
    <n v="1499"/>
    <n v="16"/>
    <x v="29"/>
  </r>
  <r>
    <x v="213"/>
    <x v="3"/>
    <x v="3"/>
    <x v="4"/>
    <n v="120"/>
    <n v="22"/>
    <x v="30"/>
  </r>
  <r>
    <x v="214"/>
    <x v="0"/>
    <x v="0"/>
    <x v="1"/>
    <n v="1450"/>
    <n v="20"/>
    <x v="31"/>
  </r>
  <r>
    <x v="215"/>
    <x v="5"/>
    <x v="2"/>
    <x v="2"/>
    <n v="1999"/>
    <n v="23"/>
    <x v="32"/>
  </r>
  <r>
    <x v="216"/>
    <x v="0"/>
    <x v="0"/>
    <x v="3"/>
    <n v="800"/>
    <n v="43"/>
    <x v="33"/>
  </r>
  <r>
    <x v="217"/>
    <x v="2"/>
    <x v="3"/>
    <x v="4"/>
    <n v="100"/>
    <n v="41"/>
    <x v="112"/>
  </r>
  <r>
    <x v="218"/>
    <x v="0"/>
    <x v="0"/>
    <x v="2"/>
    <n v="13999"/>
    <n v="37"/>
    <x v="35"/>
  </r>
  <r>
    <x v="219"/>
    <x v="4"/>
    <x v="4"/>
    <x v="3"/>
    <n v="22000"/>
    <n v="45"/>
    <x v="36"/>
  </r>
  <r>
    <x v="220"/>
    <x v="4"/>
    <x v="4"/>
    <x v="5"/>
    <n v="89999"/>
    <n v="15"/>
    <x v="37"/>
  </r>
  <r>
    <x v="221"/>
    <x v="1"/>
    <x v="2"/>
    <x v="3"/>
    <n v="13999"/>
    <n v="22"/>
    <x v="38"/>
  </r>
  <r>
    <x v="222"/>
    <x v="2"/>
    <x v="5"/>
    <x v="2"/>
    <n v="2900"/>
    <n v="20"/>
    <x v="39"/>
  </r>
  <r>
    <x v="223"/>
    <x v="1"/>
    <x v="4"/>
    <x v="3"/>
    <n v="33000"/>
    <n v="16"/>
    <x v="40"/>
  </r>
  <r>
    <x v="224"/>
    <x v="4"/>
    <x v="2"/>
    <x v="1"/>
    <n v="22000"/>
    <n v="17"/>
    <x v="41"/>
  </r>
  <r>
    <x v="225"/>
    <x v="5"/>
    <x v="5"/>
    <x v="1"/>
    <n v="699"/>
    <n v="50"/>
    <x v="42"/>
  </r>
  <r>
    <x v="226"/>
    <x v="2"/>
    <x v="4"/>
    <x v="2"/>
    <n v="499"/>
    <n v="4"/>
    <x v="43"/>
  </r>
  <r>
    <x v="227"/>
    <x v="5"/>
    <x v="5"/>
    <x v="3"/>
    <n v="590"/>
    <n v="43"/>
    <x v="44"/>
  </r>
  <r>
    <x v="228"/>
    <x v="5"/>
    <x v="5"/>
    <x v="1"/>
    <n v="590"/>
    <n v="42"/>
    <x v="45"/>
  </r>
  <r>
    <x v="229"/>
    <x v="3"/>
    <x v="3"/>
    <x v="0"/>
    <n v="120"/>
    <n v="9"/>
    <x v="46"/>
  </r>
  <r>
    <x v="230"/>
    <x v="2"/>
    <x v="4"/>
    <x v="5"/>
    <n v="52000"/>
    <n v="40"/>
    <x v="47"/>
  </r>
  <r>
    <x v="231"/>
    <x v="4"/>
    <x v="2"/>
    <x v="3"/>
    <n v="7999"/>
    <n v="14"/>
    <x v="48"/>
  </r>
  <r>
    <x v="232"/>
    <x v="2"/>
    <x v="1"/>
    <x v="4"/>
    <n v="550"/>
    <n v="9"/>
    <x v="49"/>
  </r>
  <r>
    <x v="233"/>
    <x v="4"/>
    <x v="4"/>
    <x v="3"/>
    <n v="79999"/>
    <n v="10"/>
    <x v="50"/>
  </r>
  <r>
    <x v="234"/>
    <x v="1"/>
    <x v="2"/>
    <x v="1"/>
    <n v="1999"/>
    <n v="37"/>
    <x v="51"/>
  </r>
  <r>
    <x v="235"/>
    <x v="2"/>
    <x v="4"/>
    <x v="3"/>
    <n v="89999"/>
    <n v="29"/>
    <x v="52"/>
  </r>
  <r>
    <x v="236"/>
    <x v="4"/>
    <x v="4"/>
    <x v="0"/>
    <n v="799"/>
    <n v="44"/>
    <x v="116"/>
  </r>
  <r>
    <x v="237"/>
    <x v="4"/>
    <x v="4"/>
    <x v="5"/>
    <n v="3990"/>
    <n v="31"/>
    <x v="54"/>
  </r>
  <r>
    <x v="238"/>
    <x v="2"/>
    <x v="2"/>
    <x v="2"/>
    <n v="52000"/>
    <n v="29"/>
    <x v="55"/>
  </r>
  <r>
    <x v="239"/>
    <x v="0"/>
    <x v="0"/>
    <x v="3"/>
    <n v="13999"/>
    <n v="34"/>
    <x v="56"/>
  </r>
  <r>
    <x v="240"/>
    <x v="2"/>
    <x v="3"/>
    <x v="2"/>
    <n v="120"/>
    <n v="29"/>
    <x v="57"/>
  </r>
  <r>
    <x v="241"/>
    <x v="4"/>
    <x v="1"/>
    <x v="0"/>
    <n v="23999"/>
    <n v="25"/>
    <x v="58"/>
  </r>
  <r>
    <x v="242"/>
    <x v="2"/>
    <x v="1"/>
    <x v="3"/>
    <n v="1250"/>
    <n v="31"/>
    <x v="118"/>
  </r>
  <r>
    <x v="243"/>
    <x v="5"/>
    <x v="2"/>
    <x v="3"/>
    <n v="45000"/>
    <n v="16"/>
    <x v="131"/>
  </r>
  <r>
    <x v="244"/>
    <x v="1"/>
    <x v="3"/>
    <x v="2"/>
    <n v="120"/>
    <n v="48"/>
    <x v="132"/>
  </r>
  <r>
    <x v="245"/>
    <x v="2"/>
    <x v="2"/>
    <x v="4"/>
    <n v="25600"/>
    <n v="22"/>
    <x v="133"/>
  </r>
  <r>
    <x v="246"/>
    <x v="5"/>
    <x v="5"/>
    <x v="3"/>
    <n v="699"/>
    <n v="6"/>
    <x v="63"/>
  </r>
  <r>
    <x v="247"/>
    <x v="5"/>
    <x v="2"/>
    <x v="2"/>
    <n v="99620"/>
    <n v="12"/>
    <x v="134"/>
  </r>
  <r>
    <x v="248"/>
    <x v="2"/>
    <x v="5"/>
    <x v="5"/>
    <n v="450"/>
    <n v="44"/>
    <x v="65"/>
  </r>
  <r>
    <x v="249"/>
    <x v="5"/>
    <x v="5"/>
    <x v="2"/>
    <n v="1499"/>
    <n v="15"/>
    <x v="66"/>
  </r>
  <r>
    <x v="250"/>
    <x v="0"/>
    <x v="2"/>
    <x v="4"/>
    <n v="49500"/>
    <n v="26"/>
    <x v="135"/>
  </r>
  <r>
    <x v="251"/>
    <x v="1"/>
    <x v="1"/>
    <x v="4"/>
    <n v="960"/>
    <n v="16"/>
    <x v="121"/>
  </r>
  <r>
    <x v="252"/>
    <x v="2"/>
    <x v="0"/>
    <x v="3"/>
    <n v="5599"/>
    <n v="35"/>
    <x v="69"/>
  </r>
  <r>
    <x v="253"/>
    <x v="3"/>
    <x v="3"/>
    <x v="0"/>
    <n v="89"/>
    <n v="36"/>
    <x v="122"/>
  </r>
  <r>
    <x v="254"/>
    <x v="0"/>
    <x v="0"/>
    <x v="5"/>
    <n v="2550"/>
    <n v="20"/>
    <x v="71"/>
  </r>
  <r>
    <x v="255"/>
    <x v="2"/>
    <x v="2"/>
    <x v="0"/>
    <n v="14500"/>
    <n v="47"/>
    <x v="136"/>
  </r>
  <r>
    <x v="256"/>
    <x v="5"/>
    <x v="5"/>
    <x v="3"/>
    <n v="2900"/>
    <n v="6"/>
    <x v="73"/>
  </r>
  <r>
    <x v="257"/>
    <x v="3"/>
    <x v="3"/>
    <x v="4"/>
    <n v="120"/>
    <n v="6"/>
    <x v="123"/>
  </r>
  <r>
    <x v="258"/>
    <x v="4"/>
    <x v="2"/>
    <x v="2"/>
    <n v="52000"/>
    <n v="41"/>
    <x v="75"/>
  </r>
  <r>
    <x v="259"/>
    <x v="1"/>
    <x v="5"/>
    <x v="1"/>
    <n v="590"/>
    <n v="29"/>
    <x v="124"/>
  </r>
  <r>
    <x v="260"/>
    <x v="4"/>
    <x v="1"/>
    <x v="4"/>
    <n v="7999"/>
    <n v="31"/>
    <x v="77"/>
  </r>
  <r>
    <x v="261"/>
    <x v="2"/>
    <x v="3"/>
    <x v="1"/>
    <n v="999"/>
    <n v="34"/>
    <x v="125"/>
  </r>
  <r>
    <x v="262"/>
    <x v="5"/>
    <x v="2"/>
    <x v="2"/>
    <n v="990"/>
    <n v="43"/>
    <x v="79"/>
  </r>
  <r>
    <x v="263"/>
    <x v="2"/>
    <x v="4"/>
    <x v="0"/>
    <n v="11999"/>
    <n v="37"/>
    <x v="80"/>
  </r>
  <r>
    <x v="264"/>
    <x v="1"/>
    <x v="1"/>
    <x v="0"/>
    <n v="960"/>
    <n v="7"/>
    <x v="81"/>
  </r>
  <r>
    <x v="265"/>
    <x v="0"/>
    <x v="0"/>
    <x v="2"/>
    <n v="1450"/>
    <n v="19"/>
    <x v="82"/>
  </r>
  <r>
    <x v="266"/>
    <x v="5"/>
    <x v="5"/>
    <x v="1"/>
    <n v="450"/>
    <n v="47"/>
    <x v="126"/>
  </r>
  <r>
    <x v="267"/>
    <x v="2"/>
    <x v="2"/>
    <x v="1"/>
    <n v="1499"/>
    <n v="37"/>
    <x v="84"/>
  </r>
  <r>
    <x v="268"/>
    <x v="4"/>
    <x v="4"/>
    <x v="1"/>
    <n v="79999"/>
    <n v="4"/>
    <x v="85"/>
  </r>
  <r>
    <x v="269"/>
    <x v="2"/>
    <x v="3"/>
    <x v="4"/>
    <n v="999"/>
    <n v="45"/>
    <x v="86"/>
  </r>
  <r>
    <x v="270"/>
    <x v="4"/>
    <x v="4"/>
    <x v="0"/>
    <n v="52000"/>
    <n v="15"/>
    <x v="87"/>
  </r>
  <r>
    <x v="271"/>
    <x v="1"/>
    <x v="4"/>
    <x v="3"/>
    <n v="52000"/>
    <n v="39"/>
    <x v="88"/>
  </r>
  <r>
    <x v="272"/>
    <x v="2"/>
    <x v="1"/>
    <x v="3"/>
    <n v="960"/>
    <n v="33"/>
    <x v="89"/>
  </r>
  <r>
    <x v="273"/>
    <x v="4"/>
    <x v="1"/>
    <x v="2"/>
    <n v="1450"/>
    <n v="34"/>
    <x v="127"/>
  </r>
  <r>
    <x v="274"/>
    <x v="5"/>
    <x v="5"/>
    <x v="5"/>
    <n v="2500"/>
    <n v="100"/>
    <x v="137"/>
  </r>
  <r>
    <x v="275"/>
    <x v="1"/>
    <x v="2"/>
    <x v="5"/>
    <n v="86540"/>
    <n v="6"/>
    <x v="138"/>
  </r>
  <r>
    <x v="276"/>
    <x v="3"/>
    <x v="3"/>
    <x v="5"/>
    <n v="550"/>
    <n v="44"/>
    <x v="139"/>
  </r>
  <r>
    <x v="277"/>
    <x v="2"/>
    <x v="4"/>
    <x v="5"/>
    <n v="65400"/>
    <n v="19"/>
    <x v="1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7F25DDD-03A1-4F85-A151-5BAF8CBEF068}" name="PivotTable6"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71:A72" firstHeaderRow="1" firstDataRow="1" firstDataCol="0"/>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items count="7">
        <item x="4"/>
        <item x="2"/>
        <item x="1"/>
        <item x="3"/>
        <item x="5"/>
        <item x="0"/>
        <item t="default"/>
      </items>
    </pivotField>
    <pivotField showAll="0">
      <items count="7">
        <item x="2"/>
        <item x="0"/>
        <item x="4"/>
        <item x="1"/>
        <item x="3"/>
        <item x="5"/>
        <item t="default"/>
      </items>
    </pivotField>
    <pivotField showAll="0"/>
    <pivotField showAll="0"/>
    <pivotField dataField="1" showAll="0"/>
    <pivotField numFmtId="3"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Items count="1">
    <i/>
  </rowItems>
  <colItems count="1">
    <i/>
  </colItems>
  <dataFields count="1">
    <dataField name="Sum of Units" fld="5" baseField="0" baseItem="0"/>
  </dataFields>
  <pivotTableStyleInfo name="PivotStyleLight16" showRowHeaders="1" showColHeaders="1" showRowStripes="0" showColStripes="0" showLastColumn="1"/>
  <filters count="1">
    <filter fld="0" type="dateBetween" evalOrder="-1" id="56" name="Date">
      <autoFilter ref="A1">
        <filterColumn colId="0">
          <customFilters and="1">
            <customFilter operator="greaterThanOrEqual" val="44652"/>
            <customFilter operator="lessThanOrEqual" val="4468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0362B34-F046-4342-B696-22D39C07FE24}" name="PivotTable5"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66:A67" firstHeaderRow="1" firstDataRow="1" firstDataCol="0"/>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pivotField showAll="0"/>
    <pivotField showAll="0"/>
    <pivotField showAll="0"/>
    <pivotField showAll="0"/>
    <pivotField dataField="1" numFmtId="3"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Items count="1">
    <i/>
  </rowItems>
  <colItems count="1">
    <i/>
  </colItems>
  <dataFields count="1">
    <dataField name="Sum of Amount" fld="6" baseField="0" baseItem="0" numFmtId="3"/>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56" name="Date">
      <autoFilter ref="A1">
        <filterColumn colId="0">
          <customFilters and="1">
            <customFilter operator="greaterThanOrEqual" val="44652"/>
            <customFilter operator="lessThanOrEqual" val="4468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898CE27-7D7D-4435-87F8-503EE6DC7346}" name="PivotTable4"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1">
  <location ref="A45:B52"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pivotField axis="axisRow" showAll="0">
      <items count="7">
        <item x="2"/>
        <item x="0"/>
        <item x="4"/>
        <item x="1"/>
        <item x="3"/>
        <item x="5"/>
        <item t="default"/>
      </items>
    </pivotField>
    <pivotField showAll="0">
      <items count="7">
        <item x="2"/>
        <item x="4"/>
        <item x="0"/>
        <item x="5"/>
        <item x="3"/>
        <item x="1"/>
        <item t="default"/>
      </items>
    </pivotField>
    <pivotField showAll="0"/>
    <pivotField showAll="0"/>
    <pivotField dataField="1" numFmtId="3"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2"/>
  </rowFields>
  <rowItems count="7">
    <i>
      <x/>
    </i>
    <i>
      <x v="1"/>
    </i>
    <i>
      <x v="2"/>
    </i>
    <i>
      <x v="3"/>
    </i>
    <i>
      <x v="4"/>
    </i>
    <i>
      <x v="5"/>
    </i>
    <i t="grand">
      <x/>
    </i>
  </rowItems>
  <colItems count="1">
    <i/>
  </colItems>
  <dataFields count="1">
    <dataField name="Sum of Amount" fld="6" baseField="0" baseItem="0" numFmtId="3"/>
  </dataFields>
  <chartFormats count="14">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8" series="1">
      <pivotArea type="data" outline="0" fieldPosition="0">
        <references count="1">
          <reference field="4294967294" count="1" selected="0">
            <x v="0"/>
          </reference>
        </references>
      </pivotArea>
    </chartFormat>
    <chartFormat chart="20" format="9">
      <pivotArea type="data" outline="0" fieldPosition="0">
        <references count="2">
          <reference field="4294967294" count="1" selected="0">
            <x v="0"/>
          </reference>
          <reference field="2" count="1" selected="0">
            <x v="0"/>
          </reference>
        </references>
      </pivotArea>
    </chartFormat>
    <chartFormat chart="20" format="10">
      <pivotArea type="data" outline="0" fieldPosition="0">
        <references count="2">
          <reference field="4294967294" count="1" selected="0">
            <x v="0"/>
          </reference>
          <reference field="2" count="1" selected="0">
            <x v="1"/>
          </reference>
        </references>
      </pivotArea>
    </chartFormat>
    <chartFormat chart="20" format="11">
      <pivotArea type="data" outline="0" fieldPosition="0">
        <references count="2">
          <reference field="4294967294" count="1" selected="0">
            <x v="0"/>
          </reference>
          <reference field="2" count="1" selected="0">
            <x v="2"/>
          </reference>
        </references>
      </pivotArea>
    </chartFormat>
    <chartFormat chart="20" format="12">
      <pivotArea type="data" outline="0" fieldPosition="0">
        <references count="2">
          <reference field="4294967294" count="1" selected="0">
            <x v="0"/>
          </reference>
          <reference field="2" count="1" selected="0">
            <x v="3"/>
          </reference>
        </references>
      </pivotArea>
    </chartFormat>
    <chartFormat chart="20" format="13">
      <pivotArea type="data" outline="0" fieldPosition="0">
        <references count="2">
          <reference field="4294967294" count="1" selected="0">
            <x v="0"/>
          </reference>
          <reference field="2" count="1" selected="0">
            <x v="4"/>
          </reference>
        </references>
      </pivotArea>
    </chartFormat>
    <chartFormat chart="20" format="14">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filters count="1">
    <filter fld="0" type="dateBetween" evalOrder="-1" id="56" name="Date">
      <autoFilter ref="A1">
        <filterColumn colId="0">
          <customFilters and="1">
            <customFilter operator="greaterThanOrEqual" val="44652"/>
            <customFilter operator="lessThanOrEqual" val="4468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9D4CB9F-7879-4AA9-B339-C57993008525}" name="PivotTable3"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A34:B39"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pivotField showAll="0"/>
    <pivotField axis="axisRow" showAll="0">
      <items count="7">
        <item x="2"/>
        <item x="4"/>
        <item x="0"/>
        <item x="5"/>
        <item x="3"/>
        <item x="1"/>
        <item t="default"/>
      </items>
    </pivotField>
    <pivotField showAll="0"/>
    <pivotField showAll="0"/>
    <pivotField dataField="1" numFmtId="3"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3"/>
  </rowFields>
  <rowItems count="5">
    <i>
      <x/>
    </i>
    <i>
      <x v="2"/>
    </i>
    <i>
      <x v="3"/>
    </i>
    <i>
      <x v="4"/>
    </i>
    <i t="grand">
      <x/>
    </i>
  </rowItems>
  <colItems count="1">
    <i/>
  </colItems>
  <dataFields count="1">
    <dataField name="Sum of Amount" fld="6" baseField="0" baseItem="0" numFmtId="3"/>
  </dataFields>
  <chartFormats count="6">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56" name="Date">
      <autoFilter ref="A1">
        <filterColumn colId="0">
          <customFilters and="1">
            <customFilter operator="greaterThanOrEqual" val="44652"/>
            <customFilter operator="lessThanOrEqual" val="4468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7A92890-2E5B-4626-9789-1E8B08F7DC43}" name="PivotTable2"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18:B20"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pivotField showAll="0"/>
    <pivotField showAll="0"/>
    <pivotField showAll="0"/>
    <pivotField showAll="0"/>
    <pivotField dataField="1" numFmtId="3"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7"/>
  </rowFields>
  <rowItems count="2">
    <i>
      <x v="4"/>
    </i>
    <i t="grand">
      <x/>
    </i>
  </rowItems>
  <colItems count="1">
    <i/>
  </colItems>
  <dataFields count="1">
    <dataField name="Sum of Amount" fld="6" baseField="0" baseItem="0" numFmtId="3"/>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56" name="Date">
      <autoFilter ref="A1">
        <filterColumn colId="0">
          <customFilters and="1">
            <customFilter operator="greaterThanOrEqual" val="44652"/>
            <customFilter operator="lessThanOrEqual" val="4468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F1A030B-29E9-414E-8686-9242B4D2FB0C}" name="PivotTable1"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3:B5"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pivotField showAll="0">
      <items count="7">
        <item h="1" x="2"/>
        <item h="1" x="0"/>
        <item x="4"/>
        <item h="1" x="1"/>
        <item h="1" x="3"/>
        <item h="1" x="5"/>
        <item t="default"/>
      </items>
    </pivotField>
    <pivotField showAll="0">
      <items count="7">
        <item x="2"/>
        <item h="1" x="4"/>
        <item h="1" x="0"/>
        <item h="1" x="5"/>
        <item h="1" x="3"/>
        <item h="1" x="1"/>
        <item t="default"/>
      </items>
    </pivotField>
    <pivotField showAll="0"/>
    <pivotField showAll="0"/>
    <pivotField dataField="1" numFmtId="3" showAll="0">
      <items count="142">
        <item x="123"/>
        <item x="46"/>
        <item x="106"/>
        <item x="14"/>
        <item x="108"/>
        <item x="43"/>
        <item x="30"/>
        <item x="122"/>
        <item x="57"/>
        <item x="129"/>
        <item x="112"/>
        <item x="63"/>
        <item x="93"/>
        <item x="49"/>
        <item x="132"/>
        <item x="81"/>
        <item x="60"/>
        <item x="20"/>
        <item x="11"/>
        <item x="98"/>
        <item x="8"/>
        <item x="64"/>
        <item x="67"/>
        <item x="104"/>
        <item x="128"/>
        <item x="121"/>
        <item x="124"/>
        <item x="73"/>
        <item x="92"/>
        <item x="22"/>
        <item x="10"/>
        <item x="65"/>
        <item x="126"/>
        <item x="66"/>
        <item x="29"/>
        <item x="139"/>
        <item x="45"/>
        <item x="0"/>
        <item x="44"/>
        <item x="130"/>
        <item x="109"/>
        <item x="82"/>
        <item x="21"/>
        <item x="31"/>
        <item x="105"/>
        <item x="107"/>
        <item x="25"/>
        <item x="89"/>
        <item x="94"/>
        <item x="125"/>
        <item x="33"/>
        <item x="42"/>
        <item x="97"/>
        <item x="116"/>
        <item x="118"/>
        <item x="13"/>
        <item x="79"/>
        <item x="86"/>
        <item x="115"/>
        <item x="32"/>
        <item x="127"/>
        <item x="71"/>
        <item x="84"/>
        <item x="26"/>
        <item x="39"/>
        <item x="2"/>
        <item x="72"/>
        <item x="51"/>
        <item x="18"/>
        <item x="27"/>
        <item x="95"/>
        <item x="91"/>
        <item x="114"/>
        <item x="48"/>
        <item x="5"/>
        <item x="54"/>
        <item x="17"/>
        <item x="96"/>
        <item x="4"/>
        <item x="1"/>
        <item x="23"/>
        <item x="69"/>
        <item x="100"/>
        <item x="15"/>
        <item x="28"/>
        <item x="9"/>
        <item x="77"/>
        <item x="137"/>
        <item x="120"/>
        <item x="38"/>
        <item x="85"/>
        <item x="41"/>
        <item x="74"/>
        <item x="117"/>
        <item x="110"/>
        <item x="80"/>
        <item x="24"/>
        <item x="56"/>
        <item x="12"/>
        <item x="35"/>
        <item x="138"/>
        <item x="101"/>
        <item x="40"/>
        <item x="133"/>
        <item x="119"/>
        <item x="58"/>
        <item x="111"/>
        <item x="136"/>
        <item x="68"/>
        <item x="102"/>
        <item x="131"/>
        <item x="34"/>
        <item x="87"/>
        <item x="62"/>
        <item x="50"/>
        <item x="6"/>
        <item x="90"/>
        <item x="19"/>
        <item x="36"/>
        <item x="134"/>
        <item x="140"/>
        <item x="16"/>
        <item x="135"/>
        <item x="37"/>
        <item x="59"/>
        <item x="99"/>
        <item x="55"/>
        <item x="78"/>
        <item x="76"/>
        <item x="70"/>
        <item x="88"/>
        <item x="47"/>
        <item x="83"/>
        <item x="75"/>
        <item x="113"/>
        <item x="52"/>
        <item x="103"/>
        <item x="61"/>
        <item x="7"/>
        <item x="53"/>
        <item x="3"/>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7"/>
  </rowFields>
  <rowItems count="2">
    <i>
      <x v="4"/>
    </i>
    <i t="grand">
      <x/>
    </i>
  </rowItems>
  <colItems count="1">
    <i/>
  </colItems>
  <dataFields count="1">
    <dataField name="Sum of Amount" fld="6" baseField="0" baseItem="0" numFmtId="3"/>
  </dataFields>
  <chartFormats count="1">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71" name="Date">
      <autoFilter ref="A1">
        <filterColumn colId="0">
          <customFilters and="1">
            <customFilter operator="greaterThanOrEqual" val="44652"/>
            <customFilter operator="lessThanOrEqual" val="4468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s" xr10:uid="{8DB43F12-F8AC-4210-862C-2C4DCBADEBC3}" sourceName="Products">
  <pivotTables>
    <pivotTable tabId="3" name="PivotTable1"/>
  </pivotTables>
  <data>
    <tabular pivotCacheId="1122257450">
      <items count="6">
        <i x="2"/>
        <i x="3"/>
        <i x="0" nd="1"/>
        <i x="4" s="1" nd="1"/>
        <i x="1" nd="1"/>
        <i x="5"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ce" xr10:uid="{1135476C-9436-485C-AC3D-D6FD20B731CA}" sourceName="Place">
  <pivotTables>
    <pivotTable tabId="3" name="PivotTable1"/>
  </pivotTables>
  <data>
    <tabular pivotCacheId="1122257450">
      <items count="6">
        <i x="0"/>
        <i x="5"/>
        <i x="2" s="1" nd="1"/>
        <i x="4" nd="1"/>
        <i x="3" nd="1"/>
        <i x="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s 1" xr10:uid="{912A963F-2B94-45D6-843C-303CCE234DA9}" cache="Slicer_Products" caption="Products" columnCount="6" rowHeight="247650"/>
  <slicer name="Place 1" xr10:uid="{020CF40C-C765-4EEB-81CA-3D71BC8000ED}" cache="Slicer_Place" caption="Place" columnCount="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s" xr10:uid="{8BEC673B-1BEB-45C3-A9C5-F363741601B5}" cache="Slicer_Products" caption="Products" columnCount="6" rowHeight="247650"/>
  <slicer name="Place" xr10:uid="{DB819214-D360-4C71-99F8-A60FCFD1E13F}" cache="Slicer_Place" caption="Place" columnCount="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A8EEB5A-65F8-4D3D-B2D9-493F10F6F49F}" name="Table1" displayName="Table1" ref="A3:G10" totalsRowShown="0">
  <autoFilter ref="A3:G10" xr:uid="{8A8EEB5A-65F8-4D3D-B2D9-493F10F6F49F}"/>
  <tableColumns count="7">
    <tableColumn id="1" xr3:uid="{F9F78C5C-3241-4CCE-849A-0BA32CAC8283}" name="Date" dataDxfId="1"/>
    <tableColumn id="2" xr3:uid="{7170B935-6E95-4078-BD76-8257911F33A1}" name="Sales Persons"/>
    <tableColumn id="3" xr3:uid="{CDCCCD02-D4DB-4F33-A6F7-DC015567B9DA}" name="Products"/>
    <tableColumn id="4" xr3:uid="{C8FC8927-3495-445C-BB7A-AF2E2A927299}" name="Place"/>
    <tableColumn id="5" xr3:uid="{8444E101-7DC2-485E-9851-4AE62B20C872}" name="Price"/>
    <tableColumn id="6" xr3:uid="{69A01EF9-87D7-4C2F-8EA2-5571C21C8083}" name="Units"/>
    <tableColumn id="7" xr3:uid="{504578FA-2F14-4972-9259-BD8BA9739838}" name="Amou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B68D956-81C7-4AC5-9C89-F9DDBE93E6A7}" name="Table2" displayName="Table2" ref="A3:G10" totalsRowShown="0">
  <autoFilter ref="A3:G10" xr:uid="{EB68D956-81C7-4AC5-9C89-F9DDBE93E6A7}"/>
  <tableColumns count="7">
    <tableColumn id="1" xr3:uid="{390C2026-478D-4B38-BEEB-AE62754403FD}" name="Date" dataDxfId="0"/>
    <tableColumn id="2" xr3:uid="{1F8EF3F7-F842-454F-9CAE-11DEDDA3670F}" name="Sales Persons"/>
    <tableColumn id="3" xr3:uid="{43DBEB73-C95E-47F1-8CBB-DE1B19575062}" name="Products"/>
    <tableColumn id="4" xr3:uid="{AF4D4DA9-C981-493B-984C-9A1C1EF6E901}" name="Place"/>
    <tableColumn id="5" xr3:uid="{43233BC7-A004-4518-A0CD-49681CCF2EF9}" name="Price"/>
    <tableColumn id="6" xr3:uid="{05F48704-10D1-4C99-8208-3A6E38238FFD}" name="Units"/>
    <tableColumn id="7" xr3:uid="{AE5BF8D5-565D-4E02-8DFB-AD0288F6BDD7}" name="Am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CDA113AE-F95A-47A6-BDF5-FE6100484FA2}" sourceName="Date">
  <pivotTables>
    <pivotTable tabId="3" name="PivotTable1"/>
    <pivotTable tabId="3" name="PivotTable2"/>
    <pivotTable tabId="3" name="PivotTable3"/>
    <pivotTable tabId="3" name="PivotTable4"/>
    <pivotTable tabId="3" name="PivotTable5"/>
    <pivotTable tabId="3" name="PivotTable6"/>
  </pivotTables>
  <state minimalRefreshVersion="6" lastRefreshVersion="6" pivotCacheId="1122257450" filterType="dateBetween">
    <selection startDate="2022-04-01T00:00:00" endDate="2022-04-30T00:00:00"/>
    <bounds startDate="2020-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B65D145B-B069-46FF-9D6A-DB772CFE8F37}" cache="NativeTimeline_Date" caption="Date" level="2" selectionLevel="2" scrollPosition="2021-11-30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473408DE-7724-4AC3-B687-FAAC34217D18}" cache="NativeTimeline_Date" caption="Date" level="2" selectionLevel="2" scrollPosition="2021-12-24T00:00:00"/>
</timeline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C96DE-F2D6-4CBF-B116-C7C28F974CFD}">
  <dimension ref="A1:G279"/>
  <sheetViews>
    <sheetView workbookViewId="0">
      <selection sqref="A1:G279"/>
    </sheetView>
  </sheetViews>
  <sheetFormatPr defaultRowHeight="14.4" x14ac:dyDescent="0.3"/>
  <cols>
    <col min="1" max="1" width="11.21875" bestFit="1" customWidth="1"/>
    <col min="2" max="2" width="16.109375" bestFit="1" customWidth="1"/>
    <col min="3" max="3" width="11.44140625" bestFit="1" customWidth="1"/>
    <col min="4" max="4" width="11.5546875" bestFit="1" customWidth="1"/>
    <col min="5" max="6" width="6.5546875" bestFit="1" customWidth="1"/>
    <col min="7" max="7" width="9.88671875" bestFit="1" customWidth="1"/>
  </cols>
  <sheetData>
    <row r="1" spans="1:7" ht="18" x14ac:dyDescent="0.35">
      <c r="A1" s="1" t="s">
        <v>0</v>
      </c>
      <c r="B1" s="2" t="s">
        <v>1</v>
      </c>
      <c r="C1" s="2" t="s">
        <v>2</v>
      </c>
      <c r="D1" s="2" t="s">
        <v>3</v>
      </c>
      <c r="E1" s="2" t="s">
        <v>4</v>
      </c>
      <c r="F1" s="2" t="s">
        <v>5</v>
      </c>
      <c r="G1" s="2" t="s">
        <v>6</v>
      </c>
    </row>
    <row r="2" spans="1:7" ht="15.6" x14ac:dyDescent="0.3">
      <c r="A2" s="3">
        <v>43831</v>
      </c>
      <c r="B2" s="4" t="s">
        <v>7</v>
      </c>
      <c r="C2" s="4" t="s">
        <v>8</v>
      </c>
      <c r="D2" s="4" t="s">
        <v>9</v>
      </c>
      <c r="E2" s="4">
        <v>499</v>
      </c>
      <c r="F2" s="4">
        <v>50</v>
      </c>
      <c r="G2" s="5">
        <f>E2*F2</f>
        <v>24950</v>
      </c>
    </row>
    <row r="3" spans="1:7" ht="15.6" x14ac:dyDescent="0.3">
      <c r="A3" s="6">
        <v>43835</v>
      </c>
      <c r="B3" s="7" t="s">
        <v>10</v>
      </c>
      <c r="C3" s="7" t="s">
        <v>8</v>
      </c>
      <c r="D3" s="7" t="s">
        <v>11</v>
      </c>
      <c r="E3" s="7">
        <v>5599</v>
      </c>
      <c r="F3" s="7">
        <v>33</v>
      </c>
      <c r="G3" s="8">
        <f t="shared" ref="G3:G66" si="0">E3*F3</f>
        <v>184767</v>
      </c>
    </row>
    <row r="4" spans="1:7" ht="15.6" x14ac:dyDescent="0.3">
      <c r="A4" s="3">
        <v>43839</v>
      </c>
      <c r="B4" s="4" t="s">
        <v>12</v>
      </c>
      <c r="C4" s="4" t="s">
        <v>13</v>
      </c>
      <c r="D4" s="4" t="s">
        <v>14</v>
      </c>
      <c r="E4" s="4">
        <v>1450</v>
      </c>
      <c r="F4" s="4">
        <v>44</v>
      </c>
      <c r="G4" s="5">
        <f t="shared" si="0"/>
        <v>63800</v>
      </c>
    </row>
    <row r="5" spans="1:7" ht="15.6" x14ac:dyDescent="0.3">
      <c r="A5" s="6">
        <v>43843</v>
      </c>
      <c r="B5" s="7" t="s">
        <v>15</v>
      </c>
      <c r="C5" s="7" t="s">
        <v>16</v>
      </c>
      <c r="D5" s="7" t="s">
        <v>9</v>
      </c>
      <c r="E5" s="7">
        <v>85000</v>
      </c>
      <c r="F5" s="7">
        <v>50</v>
      </c>
      <c r="G5" s="8">
        <f t="shared" si="0"/>
        <v>4250000</v>
      </c>
    </row>
    <row r="6" spans="1:7" ht="15.6" x14ac:dyDescent="0.3">
      <c r="A6" s="3">
        <v>43847</v>
      </c>
      <c r="B6" s="4" t="s">
        <v>15</v>
      </c>
      <c r="C6" s="4" t="s">
        <v>17</v>
      </c>
      <c r="D6" s="4" t="s">
        <v>18</v>
      </c>
      <c r="E6" s="4">
        <v>15000</v>
      </c>
      <c r="F6" s="4">
        <v>11</v>
      </c>
      <c r="G6" s="5">
        <f t="shared" si="0"/>
        <v>165000</v>
      </c>
    </row>
    <row r="7" spans="1:7" ht="15.6" x14ac:dyDescent="0.3">
      <c r="A7" s="6">
        <v>43851</v>
      </c>
      <c r="B7" s="7" t="s">
        <v>10</v>
      </c>
      <c r="C7" s="7" t="s">
        <v>8</v>
      </c>
      <c r="D7" s="7" t="s">
        <v>18</v>
      </c>
      <c r="E7" s="7">
        <v>2550</v>
      </c>
      <c r="F7" s="7">
        <v>48</v>
      </c>
      <c r="G7" s="8">
        <f t="shared" si="0"/>
        <v>122400</v>
      </c>
    </row>
    <row r="8" spans="1:7" ht="15.6" x14ac:dyDescent="0.3">
      <c r="A8" s="3">
        <v>43855</v>
      </c>
      <c r="B8" s="4" t="s">
        <v>19</v>
      </c>
      <c r="C8" s="4" t="s">
        <v>20</v>
      </c>
      <c r="D8" s="4" t="s">
        <v>14</v>
      </c>
      <c r="E8" s="4">
        <v>33000</v>
      </c>
      <c r="F8" s="4">
        <v>26</v>
      </c>
      <c r="G8" s="5">
        <f t="shared" si="0"/>
        <v>858000</v>
      </c>
    </row>
    <row r="9" spans="1:7" ht="15.6" x14ac:dyDescent="0.3">
      <c r="A9" s="6">
        <v>43859</v>
      </c>
      <c r="B9" s="7" t="s">
        <v>7</v>
      </c>
      <c r="C9" s="7" t="s">
        <v>16</v>
      </c>
      <c r="D9" s="7" t="s">
        <v>21</v>
      </c>
      <c r="E9" s="7">
        <v>86000</v>
      </c>
      <c r="F9" s="7">
        <v>39</v>
      </c>
      <c r="G9" s="8">
        <f t="shared" si="0"/>
        <v>3354000</v>
      </c>
    </row>
    <row r="10" spans="1:7" ht="15.6" x14ac:dyDescent="0.3">
      <c r="A10" s="3">
        <v>43863</v>
      </c>
      <c r="B10" s="4" t="s">
        <v>12</v>
      </c>
      <c r="C10" s="4" t="s">
        <v>22</v>
      </c>
      <c r="D10" s="4" t="s">
        <v>18</v>
      </c>
      <c r="E10" s="4">
        <v>990</v>
      </c>
      <c r="F10" s="4">
        <v>9</v>
      </c>
      <c r="G10" s="5">
        <f t="shared" si="0"/>
        <v>8910</v>
      </c>
    </row>
    <row r="11" spans="1:7" ht="15.6" x14ac:dyDescent="0.3">
      <c r="A11" s="6">
        <v>43867</v>
      </c>
      <c r="B11" s="7" t="s">
        <v>7</v>
      </c>
      <c r="C11" s="7" t="s">
        <v>8</v>
      </c>
      <c r="D11" s="7" t="s">
        <v>9</v>
      </c>
      <c r="E11" s="7">
        <v>5599</v>
      </c>
      <c r="F11" s="7">
        <v>41</v>
      </c>
      <c r="G11" s="8">
        <f t="shared" si="0"/>
        <v>229559</v>
      </c>
    </row>
    <row r="12" spans="1:7" ht="15.6" x14ac:dyDescent="0.3">
      <c r="A12" s="3">
        <v>43871</v>
      </c>
      <c r="B12" s="4" t="s">
        <v>19</v>
      </c>
      <c r="C12" s="4" t="s">
        <v>20</v>
      </c>
      <c r="D12" s="4" t="s">
        <v>14</v>
      </c>
      <c r="E12" s="4">
        <v>499</v>
      </c>
      <c r="F12" s="4">
        <v>39</v>
      </c>
      <c r="G12" s="5">
        <f t="shared" si="0"/>
        <v>19461</v>
      </c>
    </row>
    <row r="13" spans="1:7" ht="15.6" x14ac:dyDescent="0.3">
      <c r="A13" s="6">
        <v>43875</v>
      </c>
      <c r="B13" s="7" t="s">
        <v>10</v>
      </c>
      <c r="C13" s="7" t="s">
        <v>22</v>
      </c>
      <c r="D13" s="7" t="s">
        <v>9</v>
      </c>
      <c r="E13" s="7">
        <v>1999</v>
      </c>
      <c r="F13" s="7">
        <v>4</v>
      </c>
      <c r="G13" s="8">
        <f t="shared" si="0"/>
        <v>7996</v>
      </c>
    </row>
    <row r="14" spans="1:7" ht="15.6" x14ac:dyDescent="0.3">
      <c r="A14" s="3">
        <v>43879</v>
      </c>
      <c r="B14" s="4" t="s">
        <v>15</v>
      </c>
      <c r="C14" s="4" t="s">
        <v>16</v>
      </c>
      <c r="D14" s="4" t="s">
        <v>9</v>
      </c>
      <c r="E14" s="4">
        <v>63400</v>
      </c>
      <c r="F14" s="4">
        <v>8</v>
      </c>
      <c r="G14" s="5">
        <f t="shared" si="0"/>
        <v>507200</v>
      </c>
    </row>
    <row r="15" spans="1:7" ht="15.6" x14ac:dyDescent="0.3">
      <c r="A15" s="6">
        <v>43883</v>
      </c>
      <c r="B15" s="7" t="s">
        <v>23</v>
      </c>
      <c r="C15" s="7" t="s">
        <v>22</v>
      </c>
      <c r="D15" s="7" t="s">
        <v>18</v>
      </c>
      <c r="E15" s="7">
        <v>1499</v>
      </c>
      <c r="F15" s="7">
        <v>27</v>
      </c>
      <c r="G15" s="8">
        <f t="shared" si="0"/>
        <v>40473</v>
      </c>
    </row>
    <row r="16" spans="1:7" ht="15.6" x14ac:dyDescent="0.3">
      <c r="A16" s="3">
        <v>43887</v>
      </c>
      <c r="B16" s="4" t="s">
        <v>15</v>
      </c>
      <c r="C16" s="4" t="s">
        <v>17</v>
      </c>
      <c r="D16" s="4" t="s">
        <v>14</v>
      </c>
      <c r="E16" s="4">
        <v>120</v>
      </c>
      <c r="F16" s="4">
        <v>10</v>
      </c>
      <c r="G16" s="5">
        <f t="shared" si="0"/>
        <v>1200</v>
      </c>
    </row>
    <row r="17" spans="1:7" ht="15.6" x14ac:dyDescent="0.3">
      <c r="A17" s="6">
        <v>43891</v>
      </c>
      <c r="B17" s="7" t="s">
        <v>10</v>
      </c>
      <c r="C17" s="7" t="s">
        <v>20</v>
      </c>
      <c r="D17" s="7" t="s">
        <v>21</v>
      </c>
      <c r="E17" s="7">
        <v>11999</v>
      </c>
      <c r="F17" s="7">
        <v>17</v>
      </c>
      <c r="G17" s="8">
        <f t="shared" si="0"/>
        <v>203983</v>
      </c>
    </row>
    <row r="18" spans="1:7" ht="15.6" x14ac:dyDescent="0.3">
      <c r="A18" s="3">
        <v>43895</v>
      </c>
      <c r="B18" s="4" t="s">
        <v>12</v>
      </c>
      <c r="C18" s="4" t="s">
        <v>16</v>
      </c>
      <c r="D18" s="4" t="s">
        <v>11</v>
      </c>
      <c r="E18" s="4">
        <v>47500</v>
      </c>
      <c r="F18" s="4">
        <v>27</v>
      </c>
      <c r="G18" s="5">
        <f t="shared" si="0"/>
        <v>1282500</v>
      </c>
    </row>
    <row r="19" spans="1:7" ht="15.6" x14ac:dyDescent="0.3">
      <c r="A19" s="6">
        <v>43899</v>
      </c>
      <c r="B19" s="7" t="s">
        <v>19</v>
      </c>
      <c r="C19" s="7" t="s">
        <v>20</v>
      </c>
      <c r="D19" s="7" t="s">
        <v>11</v>
      </c>
      <c r="E19" s="7">
        <v>2999</v>
      </c>
      <c r="F19" s="7">
        <v>43</v>
      </c>
      <c r="G19" s="8">
        <f t="shared" si="0"/>
        <v>128957</v>
      </c>
    </row>
    <row r="20" spans="1:7" ht="15.6" x14ac:dyDescent="0.3">
      <c r="A20" s="3">
        <v>43903</v>
      </c>
      <c r="B20" s="4" t="s">
        <v>15</v>
      </c>
      <c r="C20" s="4" t="s">
        <v>17</v>
      </c>
      <c r="D20" s="4" t="s">
        <v>11</v>
      </c>
      <c r="E20" s="4">
        <v>8900</v>
      </c>
      <c r="F20" s="4">
        <v>9</v>
      </c>
      <c r="G20" s="5">
        <f t="shared" si="0"/>
        <v>80100</v>
      </c>
    </row>
    <row r="21" spans="1:7" ht="15.6" x14ac:dyDescent="0.3">
      <c r="A21" s="6">
        <v>43907</v>
      </c>
      <c r="B21" s="7" t="s">
        <v>10</v>
      </c>
      <c r="C21" s="7" t="s">
        <v>20</v>
      </c>
      <c r="D21" s="7" t="s">
        <v>9</v>
      </c>
      <c r="E21" s="7">
        <v>22000</v>
      </c>
      <c r="F21" s="7">
        <v>42</v>
      </c>
      <c r="G21" s="8">
        <f t="shared" si="0"/>
        <v>924000</v>
      </c>
    </row>
    <row r="22" spans="1:7" ht="15.6" x14ac:dyDescent="0.3">
      <c r="A22" s="3">
        <v>43911</v>
      </c>
      <c r="B22" s="4" t="s">
        <v>12</v>
      </c>
      <c r="C22" s="4" t="s">
        <v>13</v>
      </c>
      <c r="D22" s="4" t="s">
        <v>11</v>
      </c>
      <c r="E22" s="4">
        <v>1250</v>
      </c>
      <c r="F22" s="4">
        <v>6</v>
      </c>
      <c r="G22" s="5">
        <f t="shared" si="0"/>
        <v>7500</v>
      </c>
    </row>
    <row r="23" spans="1:7" ht="15.6" x14ac:dyDescent="0.3">
      <c r="A23" s="6">
        <v>43915</v>
      </c>
      <c r="B23" s="7" t="s">
        <v>15</v>
      </c>
      <c r="C23" s="7" t="s">
        <v>17</v>
      </c>
      <c r="D23" s="7" t="s">
        <v>18</v>
      </c>
      <c r="E23" s="7">
        <v>999</v>
      </c>
      <c r="F23" s="7">
        <v>28</v>
      </c>
      <c r="G23" s="8">
        <f t="shared" si="0"/>
        <v>27972</v>
      </c>
    </row>
    <row r="24" spans="1:7" ht="15.6" x14ac:dyDescent="0.3">
      <c r="A24" s="3">
        <v>43919</v>
      </c>
      <c r="B24" s="4" t="s">
        <v>19</v>
      </c>
      <c r="C24" s="4" t="s">
        <v>13</v>
      </c>
      <c r="D24" s="4" t="s">
        <v>21</v>
      </c>
      <c r="E24" s="4">
        <v>1450</v>
      </c>
      <c r="F24" s="4">
        <v>13</v>
      </c>
      <c r="G24" s="5">
        <f t="shared" si="0"/>
        <v>18850</v>
      </c>
    </row>
    <row r="25" spans="1:7" ht="15.6" x14ac:dyDescent="0.3">
      <c r="A25" s="6">
        <v>43923</v>
      </c>
      <c r="B25" s="7" t="s">
        <v>19</v>
      </c>
      <c r="C25" s="7" t="s">
        <v>13</v>
      </c>
      <c r="D25" s="7" t="s">
        <v>14</v>
      </c>
      <c r="E25" s="7">
        <v>23999</v>
      </c>
      <c r="F25" s="7">
        <v>8</v>
      </c>
      <c r="G25" s="8">
        <f t="shared" si="0"/>
        <v>191992</v>
      </c>
    </row>
    <row r="26" spans="1:7" ht="15.6" x14ac:dyDescent="0.3">
      <c r="A26" s="3">
        <v>43927</v>
      </c>
      <c r="B26" s="4" t="s">
        <v>10</v>
      </c>
      <c r="C26" s="4" t="s">
        <v>16</v>
      </c>
      <c r="D26" s="4" t="s">
        <v>21</v>
      </c>
      <c r="E26" s="4">
        <v>65200</v>
      </c>
      <c r="F26" s="4">
        <v>7</v>
      </c>
      <c r="G26" s="5">
        <f t="shared" si="0"/>
        <v>456400</v>
      </c>
    </row>
    <row r="27" spans="1:7" ht="15.6" x14ac:dyDescent="0.3">
      <c r="A27" s="6">
        <v>43931</v>
      </c>
      <c r="B27" s="7" t="s">
        <v>10</v>
      </c>
      <c r="C27" s="7" t="s">
        <v>22</v>
      </c>
      <c r="D27" s="7" t="s">
        <v>11</v>
      </c>
      <c r="E27" s="7">
        <v>699</v>
      </c>
      <c r="F27" s="7">
        <v>45</v>
      </c>
      <c r="G27" s="8">
        <f t="shared" si="0"/>
        <v>31455</v>
      </c>
    </row>
    <row r="28" spans="1:7" ht="15.6" x14ac:dyDescent="0.3">
      <c r="A28" s="3">
        <v>43935</v>
      </c>
      <c r="B28" s="4" t="s">
        <v>7</v>
      </c>
      <c r="C28" s="4" t="s">
        <v>8</v>
      </c>
      <c r="D28" s="4" t="s">
        <v>9</v>
      </c>
      <c r="E28" s="4">
        <v>2550</v>
      </c>
      <c r="F28" s="4">
        <v>22</v>
      </c>
      <c r="G28" s="5">
        <f t="shared" si="0"/>
        <v>56100</v>
      </c>
    </row>
    <row r="29" spans="1:7" ht="15.6" x14ac:dyDescent="0.3">
      <c r="A29" s="6">
        <v>43939</v>
      </c>
      <c r="B29" s="7" t="s">
        <v>12</v>
      </c>
      <c r="C29" s="7" t="s">
        <v>20</v>
      </c>
      <c r="D29" s="7" t="s">
        <v>21</v>
      </c>
      <c r="E29" s="7">
        <v>22000</v>
      </c>
      <c r="F29" s="7">
        <v>4</v>
      </c>
      <c r="G29" s="8">
        <f t="shared" si="0"/>
        <v>88000</v>
      </c>
    </row>
    <row r="30" spans="1:7" ht="15.6" x14ac:dyDescent="0.3">
      <c r="A30" s="3">
        <v>43943</v>
      </c>
      <c r="B30" s="4" t="s">
        <v>19</v>
      </c>
      <c r="C30" s="4" t="s">
        <v>16</v>
      </c>
      <c r="D30" s="4" t="s">
        <v>9</v>
      </c>
      <c r="E30" s="4">
        <v>22000</v>
      </c>
      <c r="F30" s="4">
        <v>10</v>
      </c>
      <c r="G30" s="5">
        <f t="shared" si="0"/>
        <v>220000</v>
      </c>
    </row>
    <row r="31" spans="1:7" ht="15.6" x14ac:dyDescent="0.3">
      <c r="A31" s="6">
        <v>43947</v>
      </c>
      <c r="B31" s="7" t="s">
        <v>23</v>
      </c>
      <c r="C31" s="7" t="s">
        <v>22</v>
      </c>
      <c r="D31" s="7" t="s">
        <v>18</v>
      </c>
      <c r="E31" s="7">
        <v>1499</v>
      </c>
      <c r="F31" s="7">
        <v>16</v>
      </c>
      <c r="G31" s="8">
        <f t="shared" si="0"/>
        <v>23984</v>
      </c>
    </row>
    <row r="32" spans="1:7" ht="15.6" x14ac:dyDescent="0.3">
      <c r="A32" s="3">
        <v>43951</v>
      </c>
      <c r="B32" s="4" t="s">
        <v>10</v>
      </c>
      <c r="C32" s="4" t="s">
        <v>17</v>
      </c>
      <c r="D32" s="4" t="s">
        <v>21</v>
      </c>
      <c r="E32" s="4">
        <v>120</v>
      </c>
      <c r="F32" s="4">
        <v>22</v>
      </c>
      <c r="G32" s="5">
        <f t="shared" si="0"/>
        <v>2640</v>
      </c>
    </row>
    <row r="33" spans="1:7" ht="15.6" x14ac:dyDescent="0.3">
      <c r="A33" s="6">
        <v>43955</v>
      </c>
      <c r="B33" s="7" t="s">
        <v>7</v>
      </c>
      <c r="C33" s="7" t="s">
        <v>8</v>
      </c>
      <c r="D33" s="7" t="s">
        <v>14</v>
      </c>
      <c r="E33" s="7">
        <v>1450</v>
      </c>
      <c r="F33" s="7">
        <v>20</v>
      </c>
      <c r="G33" s="8">
        <f t="shared" si="0"/>
        <v>29000</v>
      </c>
    </row>
    <row r="34" spans="1:7" ht="15.6" x14ac:dyDescent="0.3">
      <c r="A34" s="3">
        <v>43959</v>
      </c>
      <c r="B34" s="4" t="s">
        <v>23</v>
      </c>
      <c r="C34" s="4" t="s">
        <v>22</v>
      </c>
      <c r="D34" s="4" t="s">
        <v>18</v>
      </c>
      <c r="E34" s="4">
        <v>1999</v>
      </c>
      <c r="F34" s="4">
        <v>23</v>
      </c>
      <c r="G34" s="5">
        <f t="shared" si="0"/>
        <v>45977</v>
      </c>
    </row>
    <row r="35" spans="1:7" ht="15.6" x14ac:dyDescent="0.3">
      <c r="A35" s="6">
        <v>43963</v>
      </c>
      <c r="B35" s="7" t="s">
        <v>10</v>
      </c>
      <c r="C35" s="7" t="s">
        <v>8</v>
      </c>
      <c r="D35" s="7" t="s">
        <v>9</v>
      </c>
      <c r="E35" s="7">
        <v>800</v>
      </c>
      <c r="F35" s="7">
        <v>43</v>
      </c>
      <c r="G35" s="8">
        <f t="shared" si="0"/>
        <v>34400</v>
      </c>
    </row>
    <row r="36" spans="1:7" ht="15.6" x14ac:dyDescent="0.3">
      <c r="A36" s="3">
        <v>43967</v>
      </c>
      <c r="B36" s="4" t="s">
        <v>12</v>
      </c>
      <c r="C36" s="4" t="s">
        <v>17</v>
      </c>
      <c r="D36" s="4" t="s">
        <v>18</v>
      </c>
      <c r="E36" s="4">
        <v>18000</v>
      </c>
      <c r="F36" s="4">
        <v>41</v>
      </c>
      <c r="G36" s="5">
        <f t="shared" si="0"/>
        <v>738000</v>
      </c>
    </row>
    <row r="37" spans="1:7" ht="15.6" x14ac:dyDescent="0.3">
      <c r="A37" s="6">
        <v>43971</v>
      </c>
      <c r="B37" s="7" t="s">
        <v>7</v>
      </c>
      <c r="C37" s="7" t="s">
        <v>8</v>
      </c>
      <c r="D37" s="7" t="s">
        <v>11</v>
      </c>
      <c r="E37" s="7">
        <v>13999</v>
      </c>
      <c r="F37" s="7">
        <v>37</v>
      </c>
      <c r="G37" s="8">
        <f t="shared" si="0"/>
        <v>517963</v>
      </c>
    </row>
    <row r="38" spans="1:7" ht="15.6" x14ac:dyDescent="0.3">
      <c r="A38" s="3">
        <v>43975</v>
      </c>
      <c r="B38" s="4" t="s">
        <v>10</v>
      </c>
      <c r="C38" s="4" t="s">
        <v>20</v>
      </c>
      <c r="D38" s="4" t="s">
        <v>18</v>
      </c>
      <c r="E38" s="4">
        <v>22000</v>
      </c>
      <c r="F38" s="4">
        <v>45</v>
      </c>
      <c r="G38" s="5">
        <f t="shared" si="0"/>
        <v>990000</v>
      </c>
    </row>
    <row r="39" spans="1:7" ht="15.6" x14ac:dyDescent="0.3">
      <c r="A39" s="6">
        <v>43979</v>
      </c>
      <c r="B39" s="7" t="s">
        <v>19</v>
      </c>
      <c r="C39" s="7" t="s">
        <v>16</v>
      </c>
      <c r="D39" s="7" t="s">
        <v>9</v>
      </c>
      <c r="E39" s="7">
        <v>89999</v>
      </c>
      <c r="F39" s="7">
        <v>15</v>
      </c>
      <c r="G39" s="8">
        <f t="shared" si="0"/>
        <v>1349985</v>
      </c>
    </row>
    <row r="40" spans="1:7" ht="15.6" x14ac:dyDescent="0.3">
      <c r="A40" s="3">
        <v>43983</v>
      </c>
      <c r="B40" s="4" t="s">
        <v>7</v>
      </c>
      <c r="C40" s="4" t="s">
        <v>8</v>
      </c>
      <c r="D40" s="4" t="s">
        <v>14</v>
      </c>
      <c r="E40" s="4">
        <v>13999</v>
      </c>
      <c r="F40" s="4">
        <v>22</v>
      </c>
      <c r="G40" s="5">
        <f t="shared" si="0"/>
        <v>307978</v>
      </c>
    </row>
    <row r="41" spans="1:7" ht="15.6" x14ac:dyDescent="0.3">
      <c r="A41" s="6">
        <v>43987</v>
      </c>
      <c r="B41" s="7" t="s">
        <v>12</v>
      </c>
      <c r="C41" s="7" t="s">
        <v>22</v>
      </c>
      <c r="D41" s="7" t="s">
        <v>11</v>
      </c>
      <c r="E41" s="7">
        <v>2900</v>
      </c>
      <c r="F41" s="7">
        <v>20</v>
      </c>
      <c r="G41" s="8">
        <f t="shared" si="0"/>
        <v>58000</v>
      </c>
    </row>
    <row r="42" spans="1:7" ht="15.6" x14ac:dyDescent="0.3">
      <c r="A42" s="3">
        <v>43991</v>
      </c>
      <c r="B42" s="4" t="s">
        <v>10</v>
      </c>
      <c r="C42" s="4" t="s">
        <v>20</v>
      </c>
      <c r="D42" s="4" t="s">
        <v>18</v>
      </c>
      <c r="E42" s="4">
        <v>33000</v>
      </c>
      <c r="F42" s="4">
        <v>16</v>
      </c>
      <c r="G42" s="5">
        <f t="shared" si="0"/>
        <v>528000</v>
      </c>
    </row>
    <row r="43" spans="1:7" ht="15.6" x14ac:dyDescent="0.3">
      <c r="A43" s="6">
        <v>43995</v>
      </c>
      <c r="B43" s="7" t="s">
        <v>12</v>
      </c>
      <c r="C43" s="7" t="s">
        <v>20</v>
      </c>
      <c r="D43" s="7" t="s">
        <v>11</v>
      </c>
      <c r="E43" s="7">
        <v>22000</v>
      </c>
      <c r="F43" s="7">
        <v>17</v>
      </c>
      <c r="G43" s="8">
        <f t="shared" si="0"/>
        <v>374000</v>
      </c>
    </row>
    <row r="44" spans="1:7" ht="15.6" x14ac:dyDescent="0.3">
      <c r="A44" s="3">
        <v>43999</v>
      </c>
      <c r="B44" s="4" t="s">
        <v>23</v>
      </c>
      <c r="C44" s="4" t="s">
        <v>22</v>
      </c>
      <c r="D44" s="4" t="s">
        <v>11</v>
      </c>
      <c r="E44" s="4">
        <v>699</v>
      </c>
      <c r="F44" s="4">
        <v>50</v>
      </c>
      <c r="G44" s="5">
        <f t="shared" si="0"/>
        <v>34950</v>
      </c>
    </row>
    <row r="45" spans="1:7" ht="15.6" x14ac:dyDescent="0.3">
      <c r="A45" s="6">
        <v>44003</v>
      </c>
      <c r="B45" s="7" t="s">
        <v>19</v>
      </c>
      <c r="C45" s="7" t="s">
        <v>20</v>
      </c>
      <c r="D45" s="7" t="s">
        <v>14</v>
      </c>
      <c r="E45" s="7">
        <v>499</v>
      </c>
      <c r="F45" s="7">
        <v>4</v>
      </c>
      <c r="G45" s="8">
        <f t="shared" si="0"/>
        <v>1996</v>
      </c>
    </row>
    <row r="46" spans="1:7" ht="15.6" x14ac:dyDescent="0.3">
      <c r="A46" s="3">
        <v>44007</v>
      </c>
      <c r="B46" s="4" t="s">
        <v>10</v>
      </c>
      <c r="C46" s="4" t="s">
        <v>22</v>
      </c>
      <c r="D46" s="4" t="s">
        <v>18</v>
      </c>
      <c r="E46" s="4">
        <v>590</v>
      </c>
      <c r="F46" s="4">
        <v>43</v>
      </c>
      <c r="G46" s="5">
        <f t="shared" si="0"/>
        <v>25370</v>
      </c>
    </row>
    <row r="47" spans="1:7" ht="15.6" x14ac:dyDescent="0.3">
      <c r="A47" s="6">
        <v>44011</v>
      </c>
      <c r="B47" s="7" t="s">
        <v>23</v>
      </c>
      <c r="C47" s="7" t="s">
        <v>22</v>
      </c>
      <c r="D47" s="7" t="s">
        <v>11</v>
      </c>
      <c r="E47" s="7">
        <v>590</v>
      </c>
      <c r="F47" s="7">
        <v>42</v>
      </c>
      <c r="G47" s="8">
        <f t="shared" si="0"/>
        <v>24780</v>
      </c>
    </row>
    <row r="48" spans="1:7" ht="15.6" x14ac:dyDescent="0.3">
      <c r="A48" s="3">
        <v>44015</v>
      </c>
      <c r="B48" s="4" t="s">
        <v>10</v>
      </c>
      <c r="C48" s="4" t="s">
        <v>16</v>
      </c>
      <c r="D48" s="4" t="s">
        <v>9</v>
      </c>
      <c r="E48" s="4">
        <v>120</v>
      </c>
      <c r="F48" s="4">
        <v>9</v>
      </c>
      <c r="G48" s="5">
        <f t="shared" si="0"/>
        <v>1080</v>
      </c>
    </row>
    <row r="49" spans="1:7" ht="15.6" x14ac:dyDescent="0.3">
      <c r="A49" s="6">
        <v>44019</v>
      </c>
      <c r="B49" s="7" t="s">
        <v>19</v>
      </c>
      <c r="C49" s="7" t="s">
        <v>20</v>
      </c>
      <c r="D49" s="7" t="s">
        <v>21</v>
      </c>
      <c r="E49" s="7">
        <v>52000</v>
      </c>
      <c r="F49" s="7">
        <v>40</v>
      </c>
      <c r="G49" s="8">
        <f t="shared" si="0"/>
        <v>2080000</v>
      </c>
    </row>
    <row r="50" spans="1:7" ht="15.6" x14ac:dyDescent="0.3">
      <c r="A50" s="3">
        <v>44023</v>
      </c>
      <c r="B50" s="4" t="s">
        <v>12</v>
      </c>
      <c r="C50" s="4" t="s">
        <v>13</v>
      </c>
      <c r="D50" s="4" t="s">
        <v>18</v>
      </c>
      <c r="E50" s="4">
        <v>7999</v>
      </c>
      <c r="F50" s="4">
        <v>14</v>
      </c>
      <c r="G50" s="5">
        <f t="shared" si="0"/>
        <v>111986</v>
      </c>
    </row>
    <row r="51" spans="1:7" ht="15.6" x14ac:dyDescent="0.3">
      <c r="A51" s="6">
        <v>44027</v>
      </c>
      <c r="B51" s="7" t="s">
        <v>10</v>
      </c>
      <c r="C51" s="7" t="s">
        <v>13</v>
      </c>
      <c r="D51" s="7" t="s">
        <v>21</v>
      </c>
      <c r="E51" s="7">
        <v>550</v>
      </c>
      <c r="F51" s="7">
        <v>9</v>
      </c>
      <c r="G51" s="8">
        <f t="shared" si="0"/>
        <v>4950</v>
      </c>
    </row>
    <row r="52" spans="1:7" ht="15.6" x14ac:dyDescent="0.3">
      <c r="A52" s="3">
        <v>44031</v>
      </c>
      <c r="B52" s="4" t="s">
        <v>12</v>
      </c>
      <c r="C52" s="4" t="s">
        <v>16</v>
      </c>
      <c r="D52" s="4" t="s">
        <v>18</v>
      </c>
      <c r="E52" s="4">
        <v>79999</v>
      </c>
      <c r="F52" s="4">
        <v>10</v>
      </c>
      <c r="G52" s="5">
        <f t="shared" si="0"/>
        <v>799990</v>
      </c>
    </row>
    <row r="53" spans="1:7" ht="15.6" x14ac:dyDescent="0.3">
      <c r="A53" s="6">
        <v>44035</v>
      </c>
      <c r="B53" s="7" t="s">
        <v>23</v>
      </c>
      <c r="C53" s="7" t="s">
        <v>22</v>
      </c>
      <c r="D53" s="7" t="s">
        <v>18</v>
      </c>
      <c r="E53" s="7">
        <v>1999</v>
      </c>
      <c r="F53" s="7">
        <v>37</v>
      </c>
      <c r="G53" s="8">
        <f t="shared" si="0"/>
        <v>73963</v>
      </c>
    </row>
    <row r="54" spans="1:7" ht="15.6" x14ac:dyDescent="0.3">
      <c r="A54" s="3">
        <v>44039</v>
      </c>
      <c r="B54" s="4" t="s">
        <v>19</v>
      </c>
      <c r="C54" s="4" t="s">
        <v>20</v>
      </c>
      <c r="D54" s="4" t="s">
        <v>14</v>
      </c>
      <c r="E54" s="4">
        <v>89999</v>
      </c>
      <c r="F54" s="4">
        <v>29</v>
      </c>
      <c r="G54" s="5">
        <f t="shared" si="0"/>
        <v>2609971</v>
      </c>
    </row>
    <row r="55" spans="1:7" ht="15.6" x14ac:dyDescent="0.3">
      <c r="A55" s="6">
        <v>44043</v>
      </c>
      <c r="B55" s="7" t="s">
        <v>10</v>
      </c>
      <c r="C55" s="7" t="s">
        <v>16</v>
      </c>
      <c r="D55" s="7" t="s">
        <v>18</v>
      </c>
      <c r="E55" s="7">
        <v>78500</v>
      </c>
      <c r="F55" s="7">
        <v>44</v>
      </c>
      <c r="G55" s="8">
        <f t="shared" si="0"/>
        <v>3454000</v>
      </c>
    </row>
    <row r="56" spans="1:7" ht="15.6" x14ac:dyDescent="0.3">
      <c r="A56" s="3">
        <v>44047</v>
      </c>
      <c r="B56" s="4" t="s">
        <v>19</v>
      </c>
      <c r="C56" s="4" t="s">
        <v>20</v>
      </c>
      <c r="D56" s="4" t="s">
        <v>11</v>
      </c>
      <c r="E56" s="4">
        <v>3990</v>
      </c>
      <c r="F56" s="4">
        <v>31</v>
      </c>
      <c r="G56" s="5">
        <f t="shared" si="0"/>
        <v>123690</v>
      </c>
    </row>
    <row r="57" spans="1:7" ht="15.6" x14ac:dyDescent="0.3">
      <c r="A57" s="6">
        <v>44051</v>
      </c>
      <c r="B57" s="7" t="s">
        <v>12</v>
      </c>
      <c r="C57" s="7" t="s">
        <v>20</v>
      </c>
      <c r="D57" s="7" t="s">
        <v>18</v>
      </c>
      <c r="E57" s="7">
        <v>52000</v>
      </c>
      <c r="F57" s="7">
        <v>29</v>
      </c>
      <c r="G57" s="8">
        <f t="shared" si="0"/>
        <v>1508000</v>
      </c>
    </row>
    <row r="58" spans="1:7" ht="15.6" x14ac:dyDescent="0.3">
      <c r="A58" s="3">
        <v>44055</v>
      </c>
      <c r="B58" s="4" t="s">
        <v>7</v>
      </c>
      <c r="C58" s="4" t="s">
        <v>16</v>
      </c>
      <c r="D58" s="4" t="s">
        <v>18</v>
      </c>
      <c r="E58" s="4">
        <v>13999</v>
      </c>
      <c r="F58" s="4">
        <v>34</v>
      </c>
      <c r="G58" s="5">
        <f t="shared" si="0"/>
        <v>475966</v>
      </c>
    </row>
    <row r="59" spans="1:7" ht="15.6" x14ac:dyDescent="0.3">
      <c r="A59" s="6">
        <v>44059</v>
      </c>
      <c r="B59" s="7" t="s">
        <v>10</v>
      </c>
      <c r="C59" s="7" t="s">
        <v>17</v>
      </c>
      <c r="D59" s="7" t="s">
        <v>11</v>
      </c>
      <c r="E59" s="7">
        <v>120</v>
      </c>
      <c r="F59" s="7">
        <v>29</v>
      </c>
      <c r="G59" s="8">
        <f t="shared" si="0"/>
        <v>3480</v>
      </c>
    </row>
    <row r="60" spans="1:7" ht="15.6" x14ac:dyDescent="0.3">
      <c r="A60" s="3">
        <v>44063</v>
      </c>
      <c r="B60" s="4" t="s">
        <v>19</v>
      </c>
      <c r="C60" s="4" t="s">
        <v>13</v>
      </c>
      <c r="D60" s="4" t="s">
        <v>11</v>
      </c>
      <c r="E60" s="4">
        <v>23999</v>
      </c>
      <c r="F60" s="4">
        <v>25</v>
      </c>
      <c r="G60" s="5">
        <f t="shared" si="0"/>
        <v>599975</v>
      </c>
    </row>
    <row r="61" spans="1:7" ht="15.6" x14ac:dyDescent="0.3">
      <c r="A61" s="6">
        <v>44067</v>
      </c>
      <c r="B61" s="7" t="s">
        <v>19</v>
      </c>
      <c r="C61" s="7" t="s">
        <v>16</v>
      </c>
      <c r="D61" s="7" t="s">
        <v>18</v>
      </c>
      <c r="E61" s="7">
        <v>45000</v>
      </c>
      <c r="F61" s="7">
        <v>31</v>
      </c>
      <c r="G61" s="8">
        <f t="shared" si="0"/>
        <v>1395000</v>
      </c>
    </row>
    <row r="62" spans="1:7" ht="15.6" x14ac:dyDescent="0.3">
      <c r="A62" s="3">
        <v>44071</v>
      </c>
      <c r="B62" s="4" t="s">
        <v>10</v>
      </c>
      <c r="C62" s="4" t="s">
        <v>22</v>
      </c>
      <c r="D62" s="4" t="s">
        <v>11</v>
      </c>
      <c r="E62" s="4">
        <v>450</v>
      </c>
      <c r="F62" s="4">
        <v>16</v>
      </c>
      <c r="G62" s="5">
        <f t="shared" si="0"/>
        <v>7200</v>
      </c>
    </row>
    <row r="63" spans="1:7" ht="15.6" x14ac:dyDescent="0.3">
      <c r="A63" s="6">
        <v>44075</v>
      </c>
      <c r="B63" s="7" t="s">
        <v>15</v>
      </c>
      <c r="C63" s="7" t="s">
        <v>17</v>
      </c>
      <c r="D63" s="7" t="s">
        <v>18</v>
      </c>
      <c r="E63" s="7">
        <v>65000</v>
      </c>
      <c r="F63" s="7">
        <v>48</v>
      </c>
      <c r="G63" s="8">
        <f t="shared" si="0"/>
        <v>3120000</v>
      </c>
    </row>
    <row r="64" spans="1:7" ht="15.6" x14ac:dyDescent="0.3">
      <c r="A64" s="3">
        <v>44079</v>
      </c>
      <c r="B64" s="4" t="s">
        <v>12</v>
      </c>
      <c r="C64" s="4" t="s">
        <v>16</v>
      </c>
      <c r="D64" s="4" t="s">
        <v>21</v>
      </c>
      <c r="E64" s="4">
        <v>35600</v>
      </c>
      <c r="F64" s="4">
        <v>22</v>
      </c>
      <c r="G64" s="5">
        <f t="shared" si="0"/>
        <v>783200</v>
      </c>
    </row>
    <row r="65" spans="1:7" ht="15.6" x14ac:dyDescent="0.3">
      <c r="A65" s="6">
        <v>44083</v>
      </c>
      <c r="B65" s="7" t="s">
        <v>23</v>
      </c>
      <c r="C65" s="7" t="s">
        <v>22</v>
      </c>
      <c r="D65" s="7" t="s">
        <v>14</v>
      </c>
      <c r="E65" s="7">
        <v>699</v>
      </c>
      <c r="F65" s="7">
        <v>6</v>
      </c>
      <c r="G65" s="8">
        <f t="shared" si="0"/>
        <v>4194</v>
      </c>
    </row>
    <row r="66" spans="1:7" ht="15.6" x14ac:dyDescent="0.3">
      <c r="A66" s="3">
        <v>44087</v>
      </c>
      <c r="B66" s="4" t="s">
        <v>10</v>
      </c>
      <c r="C66" s="4" t="s">
        <v>22</v>
      </c>
      <c r="D66" s="4" t="s">
        <v>11</v>
      </c>
      <c r="E66" s="4">
        <v>990</v>
      </c>
      <c r="F66" s="4">
        <v>12</v>
      </c>
      <c r="G66" s="5">
        <f t="shared" si="0"/>
        <v>11880</v>
      </c>
    </row>
    <row r="67" spans="1:7" ht="15.6" x14ac:dyDescent="0.3">
      <c r="A67" s="6">
        <v>44091</v>
      </c>
      <c r="B67" s="7" t="s">
        <v>23</v>
      </c>
      <c r="C67" s="7" t="s">
        <v>16</v>
      </c>
      <c r="D67" s="7" t="s">
        <v>9</v>
      </c>
      <c r="E67" s="7">
        <v>450</v>
      </c>
      <c r="F67" s="7">
        <v>44</v>
      </c>
      <c r="G67" s="8">
        <f t="shared" ref="G67:G130" si="1">E67*F67</f>
        <v>19800</v>
      </c>
    </row>
    <row r="68" spans="1:7" ht="15.6" x14ac:dyDescent="0.3">
      <c r="A68" s="3">
        <v>44095</v>
      </c>
      <c r="B68" s="4" t="s">
        <v>23</v>
      </c>
      <c r="C68" s="4" t="s">
        <v>22</v>
      </c>
      <c r="D68" s="4" t="s">
        <v>14</v>
      </c>
      <c r="E68" s="4">
        <v>1499</v>
      </c>
      <c r="F68" s="4">
        <v>15</v>
      </c>
      <c r="G68" s="5">
        <f t="shared" si="1"/>
        <v>22485</v>
      </c>
    </row>
    <row r="69" spans="1:7" ht="15.6" x14ac:dyDescent="0.3">
      <c r="A69" s="6">
        <v>44099</v>
      </c>
      <c r="B69" s="7" t="s">
        <v>7</v>
      </c>
      <c r="C69" s="7" t="s">
        <v>8</v>
      </c>
      <c r="D69" s="7" t="s">
        <v>21</v>
      </c>
      <c r="E69" s="7">
        <v>499</v>
      </c>
      <c r="F69" s="7">
        <v>26</v>
      </c>
      <c r="G69" s="8">
        <f t="shared" si="1"/>
        <v>12974</v>
      </c>
    </row>
    <row r="70" spans="1:7" ht="15.6" x14ac:dyDescent="0.3">
      <c r="A70" s="3">
        <v>44103</v>
      </c>
      <c r="B70" s="4" t="s">
        <v>12</v>
      </c>
      <c r="C70" s="4" t="s">
        <v>16</v>
      </c>
      <c r="D70" s="4" t="s">
        <v>21</v>
      </c>
      <c r="E70" s="4">
        <v>44000</v>
      </c>
      <c r="F70" s="4">
        <v>16</v>
      </c>
      <c r="G70" s="5">
        <f t="shared" si="1"/>
        <v>704000</v>
      </c>
    </row>
    <row r="71" spans="1:7" ht="15.6" x14ac:dyDescent="0.3">
      <c r="A71" s="6">
        <v>44107</v>
      </c>
      <c r="B71" s="7" t="s">
        <v>7</v>
      </c>
      <c r="C71" s="7" t="s">
        <v>8</v>
      </c>
      <c r="D71" s="7" t="s">
        <v>18</v>
      </c>
      <c r="E71" s="7">
        <v>5599</v>
      </c>
      <c r="F71" s="7">
        <v>35</v>
      </c>
      <c r="G71" s="8">
        <f t="shared" si="1"/>
        <v>195965</v>
      </c>
    </row>
    <row r="72" spans="1:7" ht="15.6" x14ac:dyDescent="0.3">
      <c r="A72" s="3">
        <v>44111</v>
      </c>
      <c r="B72" s="4" t="s">
        <v>15</v>
      </c>
      <c r="C72" s="4" t="s">
        <v>16</v>
      </c>
      <c r="D72" s="4" t="s">
        <v>9</v>
      </c>
      <c r="E72" s="4">
        <v>54100</v>
      </c>
      <c r="F72" s="4">
        <v>36</v>
      </c>
      <c r="G72" s="5">
        <f t="shared" si="1"/>
        <v>1947600</v>
      </c>
    </row>
    <row r="73" spans="1:7" ht="15.6" x14ac:dyDescent="0.3">
      <c r="A73" s="6">
        <v>44115</v>
      </c>
      <c r="B73" s="7" t="s">
        <v>7</v>
      </c>
      <c r="C73" s="7" t="s">
        <v>8</v>
      </c>
      <c r="D73" s="7" t="s">
        <v>14</v>
      </c>
      <c r="E73" s="7">
        <v>2550</v>
      </c>
      <c r="F73" s="7">
        <v>20</v>
      </c>
      <c r="G73" s="8">
        <f t="shared" si="1"/>
        <v>51000</v>
      </c>
    </row>
    <row r="74" spans="1:7" ht="15.6" x14ac:dyDescent="0.3">
      <c r="A74" s="3">
        <v>44119</v>
      </c>
      <c r="B74" s="4" t="s">
        <v>10</v>
      </c>
      <c r="C74" s="4" t="s">
        <v>16</v>
      </c>
      <c r="D74" s="4" t="s">
        <v>14</v>
      </c>
      <c r="E74" s="4">
        <v>1450</v>
      </c>
      <c r="F74" s="4">
        <v>47</v>
      </c>
      <c r="G74" s="5">
        <f t="shared" si="1"/>
        <v>68150</v>
      </c>
    </row>
    <row r="75" spans="1:7" ht="15.6" x14ac:dyDescent="0.3">
      <c r="A75" s="6">
        <v>44123</v>
      </c>
      <c r="B75" s="7" t="s">
        <v>23</v>
      </c>
      <c r="C75" s="7" t="s">
        <v>22</v>
      </c>
      <c r="D75" s="7" t="s">
        <v>18</v>
      </c>
      <c r="E75" s="7">
        <v>2900</v>
      </c>
      <c r="F75" s="7">
        <v>6</v>
      </c>
      <c r="G75" s="8">
        <f t="shared" si="1"/>
        <v>17400</v>
      </c>
    </row>
    <row r="76" spans="1:7" ht="15.6" x14ac:dyDescent="0.3">
      <c r="A76" s="3">
        <v>44127</v>
      </c>
      <c r="B76" s="4" t="s">
        <v>15</v>
      </c>
      <c r="C76" s="4" t="s">
        <v>16</v>
      </c>
      <c r="D76" s="4" t="s">
        <v>21</v>
      </c>
      <c r="E76" s="4">
        <v>65200</v>
      </c>
      <c r="F76" s="4">
        <v>6</v>
      </c>
      <c r="G76" s="5">
        <f t="shared" si="1"/>
        <v>391200</v>
      </c>
    </row>
    <row r="77" spans="1:7" ht="15.6" x14ac:dyDescent="0.3">
      <c r="A77" s="6">
        <v>44131</v>
      </c>
      <c r="B77" s="7" t="s">
        <v>10</v>
      </c>
      <c r="C77" s="7" t="s">
        <v>20</v>
      </c>
      <c r="D77" s="7" t="s">
        <v>21</v>
      </c>
      <c r="E77" s="7">
        <v>52000</v>
      </c>
      <c r="F77" s="7">
        <v>41</v>
      </c>
      <c r="G77" s="8">
        <f t="shared" si="1"/>
        <v>2132000</v>
      </c>
    </row>
    <row r="78" spans="1:7" ht="15.6" x14ac:dyDescent="0.3">
      <c r="A78" s="3">
        <v>44135</v>
      </c>
      <c r="B78" s="4" t="s">
        <v>12</v>
      </c>
      <c r="C78" s="4" t="s">
        <v>16</v>
      </c>
      <c r="D78" s="4" t="s">
        <v>11</v>
      </c>
      <c r="E78" s="4">
        <v>59000</v>
      </c>
      <c r="F78" s="4">
        <v>29</v>
      </c>
      <c r="G78" s="5">
        <f t="shared" si="1"/>
        <v>1711000</v>
      </c>
    </row>
    <row r="79" spans="1:7" ht="15.6" x14ac:dyDescent="0.3">
      <c r="A79" s="6">
        <v>44139</v>
      </c>
      <c r="B79" s="7" t="s">
        <v>19</v>
      </c>
      <c r="C79" s="7" t="s">
        <v>13</v>
      </c>
      <c r="D79" s="7" t="s">
        <v>21</v>
      </c>
      <c r="E79" s="7">
        <v>7999</v>
      </c>
      <c r="F79" s="7">
        <v>31</v>
      </c>
      <c r="G79" s="8">
        <f t="shared" si="1"/>
        <v>247969</v>
      </c>
    </row>
    <row r="80" spans="1:7" ht="15.6" x14ac:dyDescent="0.3">
      <c r="A80" s="3">
        <v>44143</v>
      </c>
      <c r="B80" s="4" t="s">
        <v>10</v>
      </c>
      <c r="C80" s="4" t="s">
        <v>17</v>
      </c>
      <c r="D80" s="4" t="s">
        <v>11</v>
      </c>
      <c r="E80" s="4">
        <v>45000</v>
      </c>
      <c r="F80" s="4">
        <v>34</v>
      </c>
      <c r="G80" s="5">
        <f t="shared" si="1"/>
        <v>1530000</v>
      </c>
    </row>
    <row r="81" spans="1:7" ht="15.6" x14ac:dyDescent="0.3">
      <c r="A81" s="6">
        <v>44147</v>
      </c>
      <c r="B81" s="7" t="s">
        <v>23</v>
      </c>
      <c r="C81" s="7" t="s">
        <v>22</v>
      </c>
      <c r="D81" s="7" t="s">
        <v>9</v>
      </c>
      <c r="E81" s="7">
        <v>990</v>
      </c>
      <c r="F81" s="7">
        <v>43</v>
      </c>
      <c r="G81" s="8">
        <f t="shared" si="1"/>
        <v>42570</v>
      </c>
    </row>
    <row r="82" spans="1:7" ht="15.6" x14ac:dyDescent="0.3">
      <c r="A82" s="3">
        <v>44151</v>
      </c>
      <c r="B82" s="4" t="s">
        <v>19</v>
      </c>
      <c r="C82" s="4" t="s">
        <v>20</v>
      </c>
      <c r="D82" s="4" t="s">
        <v>9</v>
      </c>
      <c r="E82" s="4">
        <v>11999</v>
      </c>
      <c r="F82" s="4">
        <v>37</v>
      </c>
      <c r="G82" s="5">
        <f t="shared" si="1"/>
        <v>443963</v>
      </c>
    </row>
    <row r="83" spans="1:7" ht="15.6" x14ac:dyDescent="0.3">
      <c r="A83" s="6">
        <v>44155</v>
      </c>
      <c r="B83" s="7" t="s">
        <v>19</v>
      </c>
      <c r="C83" s="7" t="s">
        <v>13</v>
      </c>
      <c r="D83" s="7" t="s">
        <v>9</v>
      </c>
      <c r="E83" s="7">
        <v>960</v>
      </c>
      <c r="F83" s="7">
        <v>7</v>
      </c>
      <c r="G83" s="8">
        <f t="shared" si="1"/>
        <v>6720</v>
      </c>
    </row>
    <row r="84" spans="1:7" ht="15.6" x14ac:dyDescent="0.3">
      <c r="A84" s="3">
        <v>44159</v>
      </c>
      <c r="B84" s="4" t="s">
        <v>10</v>
      </c>
      <c r="C84" s="4" t="s">
        <v>8</v>
      </c>
      <c r="D84" s="4" t="s">
        <v>14</v>
      </c>
      <c r="E84" s="4">
        <v>1450</v>
      </c>
      <c r="F84" s="4">
        <v>19</v>
      </c>
      <c r="G84" s="5">
        <f t="shared" si="1"/>
        <v>27550</v>
      </c>
    </row>
    <row r="85" spans="1:7" ht="15.6" x14ac:dyDescent="0.3">
      <c r="A85" s="6">
        <v>44163</v>
      </c>
      <c r="B85" s="7" t="s">
        <v>12</v>
      </c>
      <c r="C85" s="7" t="s">
        <v>16</v>
      </c>
      <c r="D85" s="7" t="s">
        <v>11</v>
      </c>
      <c r="E85" s="7">
        <v>45000</v>
      </c>
      <c r="F85" s="7">
        <v>47</v>
      </c>
      <c r="G85" s="8">
        <f t="shared" si="1"/>
        <v>2115000</v>
      </c>
    </row>
    <row r="86" spans="1:7" ht="15.6" x14ac:dyDescent="0.3">
      <c r="A86" s="3">
        <v>44167</v>
      </c>
      <c r="B86" s="4" t="s">
        <v>10</v>
      </c>
      <c r="C86" s="4" t="s">
        <v>22</v>
      </c>
      <c r="D86" s="4" t="s">
        <v>11</v>
      </c>
      <c r="E86" s="4">
        <v>1499</v>
      </c>
      <c r="F86" s="4">
        <v>37</v>
      </c>
      <c r="G86" s="5">
        <f t="shared" si="1"/>
        <v>55463</v>
      </c>
    </row>
    <row r="87" spans="1:7" ht="15.6" x14ac:dyDescent="0.3">
      <c r="A87" s="6">
        <v>44171</v>
      </c>
      <c r="B87" s="7" t="s">
        <v>19</v>
      </c>
      <c r="C87" s="7" t="s">
        <v>20</v>
      </c>
      <c r="D87" s="7" t="s">
        <v>14</v>
      </c>
      <c r="E87" s="7">
        <v>79999</v>
      </c>
      <c r="F87" s="7">
        <v>4</v>
      </c>
      <c r="G87" s="8">
        <f t="shared" si="1"/>
        <v>319996</v>
      </c>
    </row>
    <row r="88" spans="1:7" ht="15.6" x14ac:dyDescent="0.3">
      <c r="A88" s="3">
        <v>44175</v>
      </c>
      <c r="B88" s="4" t="s">
        <v>15</v>
      </c>
      <c r="C88" s="4" t="s">
        <v>16</v>
      </c>
      <c r="D88" s="4" t="s">
        <v>21</v>
      </c>
      <c r="E88" s="4">
        <v>999</v>
      </c>
      <c r="F88" s="4">
        <v>45</v>
      </c>
      <c r="G88" s="5">
        <f t="shared" si="1"/>
        <v>44955</v>
      </c>
    </row>
    <row r="89" spans="1:7" ht="15.6" x14ac:dyDescent="0.3">
      <c r="A89" s="6">
        <v>44179</v>
      </c>
      <c r="B89" s="7" t="s">
        <v>10</v>
      </c>
      <c r="C89" s="7" t="s">
        <v>20</v>
      </c>
      <c r="D89" s="7" t="s">
        <v>9</v>
      </c>
      <c r="E89" s="7">
        <v>52000</v>
      </c>
      <c r="F89" s="7">
        <v>15</v>
      </c>
      <c r="G89" s="8">
        <f t="shared" si="1"/>
        <v>780000</v>
      </c>
    </row>
    <row r="90" spans="1:7" ht="15.6" x14ac:dyDescent="0.3">
      <c r="A90" s="3">
        <v>44183</v>
      </c>
      <c r="B90" s="4" t="s">
        <v>12</v>
      </c>
      <c r="C90" s="4" t="s">
        <v>16</v>
      </c>
      <c r="D90" s="4" t="s">
        <v>18</v>
      </c>
      <c r="E90" s="4">
        <v>52000</v>
      </c>
      <c r="F90" s="4">
        <v>39</v>
      </c>
      <c r="G90" s="5">
        <f t="shared" si="1"/>
        <v>2028000</v>
      </c>
    </row>
    <row r="91" spans="1:7" ht="15.6" x14ac:dyDescent="0.3">
      <c r="A91" s="6">
        <v>44187</v>
      </c>
      <c r="B91" s="7" t="s">
        <v>19</v>
      </c>
      <c r="C91" s="7" t="s">
        <v>13</v>
      </c>
      <c r="D91" s="7" t="s">
        <v>14</v>
      </c>
      <c r="E91" s="7">
        <v>960</v>
      </c>
      <c r="F91" s="7">
        <v>33</v>
      </c>
      <c r="G91" s="8">
        <f t="shared" si="1"/>
        <v>31680</v>
      </c>
    </row>
    <row r="92" spans="1:7" ht="15.6" x14ac:dyDescent="0.3">
      <c r="A92" s="3">
        <v>44191</v>
      </c>
      <c r="B92" s="4" t="s">
        <v>19</v>
      </c>
      <c r="C92" s="4" t="s">
        <v>16</v>
      </c>
      <c r="D92" s="4" t="s">
        <v>18</v>
      </c>
      <c r="E92" s="4">
        <v>19500</v>
      </c>
      <c r="F92" s="4">
        <v>45</v>
      </c>
      <c r="G92" s="5">
        <f t="shared" si="1"/>
        <v>877500</v>
      </c>
    </row>
    <row r="93" spans="1:7" ht="15.6" x14ac:dyDescent="0.3">
      <c r="A93" s="6">
        <v>44195</v>
      </c>
      <c r="B93" s="7" t="s">
        <v>19</v>
      </c>
      <c r="C93" s="7" t="s">
        <v>20</v>
      </c>
      <c r="D93" s="7" t="s">
        <v>18</v>
      </c>
      <c r="E93" s="7">
        <v>2999</v>
      </c>
      <c r="F93" s="7">
        <v>33</v>
      </c>
      <c r="G93" s="8">
        <f t="shared" si="1"/>
        <v>98967</v>
      </c>
    </row>
    <row r="94" spans="1:7" ht="15.6" x14ac:dyDescent="0.3">
      <c r="A94" s="3">
        <v>44199</v>
      </c>
      <c r="B94" s="4" t="s">
        <v>10</v>
      </c>
      <c r="C94" s="4" t="s">
        <v>13</v>
      </c>
      <c r="D94" s="4" t="s">
        <v>21</v>
      </c>
      <c r="E94" s="4">
        <v>1250</v>
      </c>
      <c r="F94" s="4">
        <v>14</v>
      </c>
      <c r="G94" s="5">
        <f t="shared" si="1"/>
        <v>17500</v>
      </c>
    </row>
    <row r="95" spans="1:7" ht="15.6" x14ac:dyDescent="0.3">
      <c r="A95" s="6">
        <v>44203</v>
      </c>
      <c r="B95" s="7" t="s">
        <v>10</v>
      </c>
      <c r="C95" s="7" t="s">
        <v>17</v>
      </c>
      <c r="D95" s="7" t="s">
        <v>9</v>
      </c>
      <c r="E95" s="7">
        <v>120</v>
      </c>
      <c r="F95" s="7">
        <v>41</v>
      </c>
      <c r="G95" s="8">
        <f t="shared" si="1"/>
        <v>4920</v>
      </c>
    </row>
    <row r="96" spans="1:7" ht="15.6" x14ac:dyDescent="0.3">
      <c r="A96" s="3">
        <v>44207</v>
      </c>
      <c r="B96" s="4" t="s">
        <v>12</v>
      </c>
      <c r="C96" s="4" t="s">
        <v>8</v>
      </c>
      <c r="D96" s="4" t="s">
        <v>18</v>
      </c>
      <c r="E96" s="4">
        <v>1450</v>
      </c>
      <c r="F96" s="4">
        <v>22</v>
      </c>
      <c r="G96" s="5">
        <f t="shared" si="1"/>
        <v>31900</v>
      </c>
    </row>
    <row r="97" spans="1:7" ht="15.6" x14ac:dyDescent="0.3">
      <c r="A97" s="6">
        <v>44211</v>
      </c>
      <c r="B97" s="7" t="s">
        <v>19</v>
      </c>
      <c r="C97" s="7" t="s">
        <v>20</v>
      </c>
      <c r="D97" s="7" t="s">
        <v>9</v>
      </c>
      <c r="E97" s="7">
        <v>89999</v>
      </c>
      <c r="F97" s="7">
        <v>15</v>
      </c>
      <c r="G97" s="8">
        <f t="shared" si="1"/>
        <v>1349985</v>
      </c>
    </row>
    <row r="98" spans="1:7" ht="15.6" x14ac:dyDescent="0.3">
      <c r="A98" s="3">
        <v>44215</v>
      </c>
      <c r="B98" s="4" t="s">
        <v>23</v>
      </c>
      <c r="C98" s="4" t="s">
        <v>16</v>
      </c>
      <c r="D98" s="4" t="s">
        <v>14</v>
      </c>
      <c r="E98" s="4">
        <v>1999</v>
      </c>
      <c r="F98" s="4">
        <v>48</v>
      </c>
      <c r="G98" s="5">
        <f t="shared" si="1"/>
        <v>95952</v>
      </c>
    </row>
    <row r="99" spans="1:7" ht="15.6" x14ac:dyDescent="0.3">
      <c r="A99" s="6">
        <v>44219</v>
      </c>
      <c r="B99" s="7" t="s">
        <v>23</v>
      </c>
      <c r="C99" s="7" t="s">
        <v>22</v>
      </c>
      <c r="D99" s="7" t="s">
        <v>18</v>
      </c>
      <c r="E99" s="7">
        <v>2900</v>
      </c>
      <c r="F99" s="7">
        <v>49</v>
      </c>
      <c r="G99" s="8">
        <f t="shared" si="1"/>
        <v>142100</v>
      </c>
    </row>
    <row r="100" spans="1:7" ht="15.6" x14ac:dyDescent="0.3">
      <c r="A100" s="3">
        <v>44223</v>
      </c>
      <c r="B100" s="4" t="s">
        <v>19</v>
      </c>
      <c r="C100" s="4" t="s">
        <v>20</v>
      </c>
      <c r="D100" s="4" t="s">
        <v>21</v>
      </c>
      <c r="E100" s="4">
        <v>700</v>
      </c>
      <c r="F100" s="4">
        <v>50</v>
      </c>
      <c r="G100" s="5">
        <f t="shared" si="1"/>
        <v>35000</v>
      </c>
    </row>
    <row r="101" spans="1:7" ht="15.6" x14ac:dyDescent="0.3">
      <c r="A101" s="6">
        <v>44227</v>
      </c>
      <c r="B101" s="7" t="s">
        <v>15</v>
      </c>
      <c r="C101" s="7" t="s">
        <v>17</v>
      </c>
      <c r="D101" s="7" t="s">
        <v>18</v>
      </c>
      <c r="E101" s="7">
        <v>200</v>
      </c>
      <c r="F101" s="7">
        <v>41</v>
      </c>
      <c r="G101" s="8">
        <f t="shared" si="1"/>
        <v>8200</v>
      </c>
    </row>
    <row r="102" spans="1:7" ht="15.6" x14ac:dyDescent="0.3">
      <c r="A102" s="3">
        <v>44231</v>
      </c>
      <c r="B102" s="4" t="s">
        <v>12</v>
      </c>
      <c r="C102" s="4" t="s">
        <v>16</v>
      </c>
      <c r="D102" s="4" t="s">
        <v>11</v>
      </c>
      <c r="E102" s="4">
        <v>49000</v>
      </c>
      <c r="F102" s="4">
        <v>29</v>
      </c>
      <c r="G102" s="5">
        <f t="shared" si="1"/>
        <v>1421000</v>
      </c>
    </row>
    <row r="103" spans="1:7" ht="15.6" x14ac:dyDescent="0.3">
      <c r="A103" s="6">
        <v>44235</v>
      </c>
      <c r="B103" s="7" t="s">
        <v>7</v>
      </c>
      <c r="C103" s="7" t="s">
        <v>8</v>
      </c>
      <c r="D103" s="7" t="s">
        <v>21</v>
      </c>
      <c r="E103" s="7">
        <v>5599</v>
      </c>
      <c r="F103" s="7">
        <v>36</v>
      </c>
      <c r="G103" s="8">
        <f t="shared" si="1"/>
        <v>201564</v>
      </c>
    </row>
    <row r="104" spans="1:7" ht="15.6" x14ac:dyDescent="0.3">
      <c r="A104" s="3">
        <v>44239</v>
      </c>
      <c r="B104" s="4" t="s">
        <v>15</v>
      </c>
      <c r="C104" s="4" t="s">
        <v>17</v>
      </c>
      <c r="D104" s="4" t="s">
        <v>18</v>
      </c>
      <c r="E104" s="4">
        <v>13500</v>
      </c>
      <c r="F104" s="4">
        <v>39</v>
      </c>
      <c r="G104" s="5">
        <f t="shared" si="1"/>
        <v>526500</v>
      </c>
    </row>
    <row r="105" spans="1:7" ht="15.6" x14ac:dyDescent="0.3">
      <c r="A105" s="6">
        <v>44243</v>
      </c>
      <c r="B105" s="7" t="s">
        <v>12</v>
      </c>
      <c r="C105" s="7" t="s">
        <v>20</v>
      </c>
      <c r="D105" s="7" t="s">
        <v>18</v>
      </c>
      <c r="E105" s="7">
        <v>79999</v>
      </c>
      <c r="F105" s="7">
        <v>9</v>
      </c>
      <c r="G105" s="8">
        <f t="shared" si="1"/>
        <v>719991</v>
      </c>
    </row>
    <row r="106" spans="1:7" ht="15.6" x14ac:dyDescent="0.3">
      <c r="A106" s="3">
        <v>44247</v>
      </c>
      <c r="B106" s="4" t="s">
        <v>19</v>
      </c>
      <c r="C106" s="4" t="s">
        <v>16</v>
      </c>
      <c r="D106" s="4" t="s">
        <v>14</v>
      </c>
      <c r="E106" s="4">
        <v>75200</v>
      </c>
      <c r="F106" s="4">
        <v>38</v>
      </c>
      <c r="G106" s="5">
        <f t="shared" si="1"/>
        <v>2857600</v>
      </c>
    </row>
    <row r="107" spans="1:7" ht="15.6" x14ac:dyDescent="0.3">
      <c r="A107" s="6">
        <v>44251</v>
      </c>
      <c r="B107" s="7" t="s">
        <v>19</v>
      </c>
      <c r="C107" s="7" t="s">
        <v>13</v>
      </c>
      <c r="D107" s="7" t="s">
        <v>9</v>
      </c>
      <c r="E107" s="7">
        <v>550</v>
      </c>
      <c r="F107" s="7">
        <v>25</v>
      </c>
      <c r="G107" s="8">
        <f t="shared" si="1"/>
        <v>13750</v>
      </c>
    </row>
    <row r="108" spans="1:7" ht="15.6" x14ac:dyDescent="0.3">
      <c r="A108" s="3">
        <v>44255</v>
      </c>
      <c r="B108" s="4" t="s">
        <v>7</v>
      </c>
      <c r="C108" s="4" t="s">
        <v>8</v>
      </c>
      <c r="D108" s="4" t="s">
        <v>9</v>
      </c>
      <c r="E108" s="4">
        <v>499</v>
      </c>
      <c r="F108" s="4">
        <v>50</v>
      </c>
      <c r="G108" s="5">
        <f t="shared" si="1"/>
        <v>24950</v>
      </c>
    </row>
    <row r="109" spans="1:7" ht="15.6" x14ac:dyDescent="0.3">
      <c r="A109" s="6">
        <v>44259</v>
      </c>
      <c r="B109" s="7" t="s">
        <v>7</v>
      </c>
      <c r="C109" s="7" t="s">
        <v>8</v>
      </c>
      <c r="D109" s="7" t="s">
        <v>11</v>
      </c>
      <c r="E109" s="7">
        <v>5599</v>
      </c>
      <c r="F109" s="7">
        <v>33</v>
      </c>
      <c r="G109" s="8">
        <f t="shared" si="1"/>
        <v>184767</v>
      </c>
    </row>
    <row r="110" spans="1:7" ht="15.6" x14ac:dyDescent="0.3">
      <c r="A110" s="3">
        <v>44263</v>
      </c>
      <c r="B110" s="4" t="s">
        <v>12</v>
      </c>
      <c r="C110" s="4" t="s">
        <v>13</v>
      </c>
      <c r="D110" s="4" t="s">
        <v>14</v>
      </c>
      <c r="E110" s="4">
        <v>1450</v>
      </c>
      <c r="F110" s="4">
        <v>44</v>
      </c>
      <c r="G110" s="5">
        <f t="shared" si="1"/>
        <v>63800</v>
      </c>
    </row>
    <row r="111" spans="1:7" ht="15.6" x14ac:dyDescent="0.3">
      <c r="A111" s="6">
        <v>44267</v>
      </c>
      <c r="B111" s="7" t="s">
        <v>15</v>
      </c>
      <c r="C111" s="7" t="s">
        <v>17</v>
      </c>
      <c r="D111" s="7" t="s">
        <v>9</v>
      </c>
      <c r="E111" s="7">
        <v>999</v>
      </c>
      <c r="F111" s="7">
        <v>31</v>
      </c>
      <c r="G111" s="8">
        <f t="shared" si="1"/>
        <v>30969</v>
      </c>
    </row>
    <row r="112" spans="1:7" ht="15.6" x14ac:dyDescent="0.3">
      <c r="A112" s="3">
        <v>44271</v>
      </c>
      <c r="B112" s="4" t="s">
        <v>15</v>
      </c>
      <c r="C112" s="4" t="s">
        <v>17</v>
      </c>
      <c r="D112" s="4" t="s">
        <v>18</v>
      </c>
      <c r="E112" s="4">
        <v>100</v>
      </c>
      <c r="F112" s="4">
        <v>11</v>
      </c>
      <c r="G112" s="5">
        <f t="shared" si="1"/>
        <v>1100</v>
      </c>
    </row>
    <row r="113" spans="1:7" ht="15.6" x14ac:dyDescent="0.3">
      <c r="A113" s="6">
        <v>44275</v>
      </c>
      <c r="B113" s="7" t="s">
        <v>12</v>
      </c>
      <c r="C113" s="7" t="s">
        <v>8</v>
      </c>
      <c r="D113" s="7" t="s">
        <v>18</v>
      </c>
      <c r="E113" s="7">
        <v>2550</v>
      </c>
      <c r="F113" s="7">
        <v>48</v>
      </c>
      <c r="G113" s="8">
        <f t="shared" si="1"/>
        <v>122400</v>
      </c>
    </row>
    <row r="114" spans="1:7" ht="15.6" x14ac:dyDescent="0.3">
      <c r="A114" s="3">
        <v>44279</v>
      </c>
      <c r="B114" s="4" t="s">
        <v>19</v>
      </c>
      <c r="C114" s="4" t="s">
        <v>20</v>
      </c>
      <c r="D114" s="4" t="s">
        <v>18</v>
      </c>
      <c r="E114" s="4">
        <v>33000</v>
      </c>
      <c r="F114" s="4">
        <v>26</v>
      </c>
      <c r="G114" s="5">
        <f t="shared" si="1"/>
        <v>858000</v>
      </c>
    </row>
    <row r="115" spans="1:7" ht="15.6" x14ac:dyDescent="0.3">
      <c r="A115" s="6">
        <v>44283</v>
      </c>
      <c r="B115" s="7" t="s">
        <v>10</v>
      </c>
      <c r="C115" s="7" t="s">
        <v>8</v>
      </c>
      <c r="D115" s="7" t="s">
        <v>14</v>
      </c>
      <c r="E115" s="7">
        <v>800</v>
      </c>
      <c r="F115" s="7">
        <v>39</v>
      </c>
      <c r="G115" s="8">
        <f t="shared" si="1"/>
        <v>31200</v>
      </c>
    </row>
    <row r="116" spans="1:7" ht="15.6" x14ac:dyDescent="0.3">
      <c r="A116" s="3">
        <v>44287</v>
      </c>
      <c r="B116" s="4" t="s">
        <v>23</v>
      </c>
      <c r="C116" s="4" t="s">
        <v>22</v>
      </c>
      <c r="D116" s="4" t="s">
        <v>14</v>
      </c>
      <c r="E116" s="4">
        <v>990</v>
      </c>
      <c r="F116" s="4">
        <v>9</v>
      </c>
      <c r="G116" s="5">
        <f t="shared" si="1"/>
        <v>8910</v>
      </c>
    </row>
    <row r="117" spans="1:7" ht="15.6" x14ac:dyDescent="0.3">
      <c r="A117" s="6">
        <v>44291</v>
      </c>
      <c r="B117" s="7" t="s">
        <v>7</v>
      </c>
      <c r="C117" s="7" t="s">
        <v>8</v>
      </c>
      <c r="D117" s="7" t="s">
        <v>9</v>
      </c>
      <c r="E117" s="7">
        <v>5599</v>
      </c>
      <c r="F117" s="7">
        <v>41</v>
      </c>
      <c r="G117" s="8">
        <f t="shared" si="1"/>
        <v>229559</v>
      </c>
    </row>
    <row r="118" spans="1:7" ht="15.6" x14ac:dyDescent="0.3">
      <c r="A118" s="3">
        <v>44295</v>
      </c>
      <c r="B118" s="4" t="s">
        <v>19</v>
      </c>
      <c r="C118" s="4" t="s">
        <v>20</v>
      </c>
      <c r="D118" s="4" t="s">
        <v>9</v>
      </c>
      <c r="E118" s="4">
        <v>499</v>
      </c>
      <c r="F118" s="4">
        <v>39</v>
      </c>
      <c r="G118" s="5">
        <f t="shared" si="1"/>
        <v>19461</v>
      </c>
    </row>
    <row r="119" spans="1:7" ht="15.6" x14ac:dyDescent="0.3">
      <c r="A119" s="6">
        <v>44299</v>
      </c>
      <c r="B119" s="7" t="s">
        <v>23</v>
      </c>
      <c r="C119" s="7" t="s">
        <v>22</v>
      </c>
      <c r="D119" s="7" t="s">
        <v>9</v>
      </c>
      <c r="E119" s="7">
        <v>1999</v>
      </c>
      <c r="F119" s="7">
        <v>4</v>
      </c>
      <c r="G119" s="8">
        <f t="shared" si="1"/>
        <v>7996</v>
      </c>
    </row>
    <row r="120" spans="1:7" ht="15.6" x14ac:dyDescent="0.3">
      <c r="A120" s="3">
        <v>44303</v>
      </c>
      <c r="B120" s="4" t="s">
        <v>12</v>
      </c>
      <c r="C120" s="4" t="s">
        <v>17</v>
      </c>
      <c r="D120" s="4" t="s">
        <v>9</v>
      </c>
      <c r="E120" s="4">
        <v>200</v>
      </c>
      <c r="F120" s="4">
        <v>8</v>
      </c>
      <c r="G120" s="5">
        <f t="shared" si="1"/>
        <v>1600</v>
      </c>
    </row>
    <row r="121" spans="1:7" ht="15.6" x14ac:dyDescent="0.3">
      <c r="A121" s="6">
        <v>44307</v>
      </c>
      <c r="B121" s="7" t="s">
        <v>23</v>
      </c>
      <c r="C121" s="7" t="s">
        <v>22</v>
      </c>
      <c r="D121" s="7" t="s">
        <v>14</v>
      </c>
      <c r="E121" s="7">
        <v>1499</v>
      </c>
      <c r="F121" s="7">
        <v>27</v>
      </c>
      <c r="G121" s="8">
        <f t="shared" si="1"/>
        <v>40473</v>
      </c>
    </row>
    <row r="122" spans="1:7" ht="15.6" x14ac:dyDescent="0.3">
      <c r="A122" s="3">
        <v>44311</v>
      </c>
      <c r="B122" s="4" t="s">
        <v>15</v>
      </c>
      <c r="C122" s="4" t="s">
        <v>17</v>
      </c>
      <c r="D122" s="4" t="s">
        <v>21</v>
      </c>
      <c r="E122" s="4">
        <v>120</v>
      </c>
      <c r="F122" s="4">
        <v>10</v>
      </c>
      <c r="G122" s="5">
        <f t="shared" si="1"/>
        <v>1200</v>
      </c>
    </row>
    <row r="123" spans="1:7" ht="15.6" x14ac:dyDescent="0.3">
      <c r="A123" s="6">
        <v>44315</v>
      </c>
      <c r="B123" s="7" t="s">
        <v>10</v>
      </c>
      <c r="C123" s="7" t="s">
        <v>20</v>
      </c>
      <c r="D123" s="7" t="s">
        <v>21</v>
      </c>
      <c r="E123" s="7">
        <v>11999</v>
      </c>
      <c r="F123" s="7">
        <v>17</v>
      </c>
      <c r="G123" s="8">
        <f t="shared" si="1"/>
        <v>203983</v>
      </c>
    </row>
    <row r="124" spans="1:7" ht="15.6" x14ac:dyDescent="0.3">
      <c r="A124" s="3">
        <v>44319</v>
      </c>
      <c r="B124" s="4" t="s">
        <v>10</v>
      </c>
      <c r="C124" s="4" t="s">
        <v>20</v>
      </c>
      <c r="D124" s="4" t="s">
        <v>11</v>
      </c>
      <c r="E124" s="4">
        <v>999</v>
      </c>
      <c r="F124" s="4">
        <v>27</v>
      </c>
      <c r="G124" s="5">
        <f t="shared" si="1"/>
        <v>26973</v>
      </c>
    </row>
    <row r="125" spans="1:7" ht="15.6" x14ac:dyDescent="0.3">
      <c r="A125" s="6">
        <v>44323</v>
      </c>
      <c r="B125" s="7" t="s">
        <v>12</v>
      </c>
      <c r="C125" s="7" t="s">
        <v>20</v>
      </c>
      <c r="D125" s="7" t="s">
        <v>14</v>
      </c>
      <c r="E125" s="7">
        <v>2999</v>
      </c>
      <c r="F125" s="7">
        <v>43</v>
      </c>
      <c r="G125" s="8">
        <f t="shared" si="1"/>
        <v>128957</v>
      </c>
    </row>
    <row r="126" spans="1:7" ht="15.6" x14ac:dyDescent="0.3">
      <c r="A126" s="3">
        <v>44327</v>
      </c>
      <c r="B126" s="4" t="s">
        <v>15</v>
      </c>
      <c r="C126" s="4" t="s">
        <v>16</v>
      </c>
      <c r="D126" s="4" t="s">
        <v>11</v>
      </c>
      <c r="E126" s="4">
        <v>47800</v>
      </c>
      <c r="F126" s="4">
        <v>9</v>
      </c>
      <c r="G126" s="5">
        <f t="shared" si="1"/>
        <v>430200</v>
      </c>
    </row>
    <row r="127" spans="1:7" ht="15.6" x14ac:dyDescent="0.3">
      <c r="A127" s="6">
        <v>44331</v>
      </c>
      <c r="B127" s="7" t="s">
        <v>19</v>
      </c>
      <c r="C127" s="7" t="s">
        <v>16</v>
      </c>
      <c r="D127" s="7" t="s">
        <v>9</v>
      </c>
      <c r="E127" s="7">
        <v>22000</v>
      </c>
      <c r="F127" s="7">
        <v>42</v>
      </c>
      <c r="G127" s="8">
        <f t="shared" si="1"/>
        <v>924000</v>
      </c>
    </row>
    <row r="128" spans="1:7" ht="15.6" x14ac:dyDescent="0.3">
      <c r="A128" s="3">
        <v>44335</v>
      </c>
      <c r="B128" s="4" t="s">
        <v>19</v>
      </c>
      <c r="C128" s="4" t="s">
        <v>13</v>
      </c>
      <c r="D128" s="4" t="s">
        <v>11</v>
      </c>
      <c r="E128" s="4">
        <v>1250</v>
      </c>
      <c r="F128" s="4">
        <v>6</v>
      </c>
      <c r="G128" s="5">
        <f t="shared" si="1"/>
        <v>7500</v>
      </c>
    </row>
    <row r="129" spans="1:7" ht="15.6" x14ac:dyDescent="0.3">
      <c r="A129" s="6">
        <v>44339</v>
      </c>
      <c r="B129" s="7" t="s">
        <v>15</v>
      </c>
      <c r="C129" s="7" t="s">
        <v>17</v>
      </c>
      <c r="D129" s="7" t="s">
        <v>14</v>
      </c>
      <c r="E129" s="7">
        <v>999</v>
      </c>
      <c r="F129" s="7">
        <v>28</v>
      </c>
      <c r="G129" s="8">
        <f t="shared" si="1"/>
        <v>27972</v>
      </c>
    </row>
    <row r="130" spans="1:7" ht="15.6" x14ac:dyDescent="0.3">
      <c r="A130" s="3">
        <v>44343</v>
      </c>
      <c r="B130" s="4" t="s">
        <v>19</v>
      </c>
      <c r="C130" s="4" t="s">
        <v>13</v>
      </c>
      <c r="D130" s="4" t="s">
        <v>21</v>
      </c>
      <c r="E130" s="4">
        <v>1450</v>
      </c>
      <c r="F130" s="4">
        <v>13</v>
      </c>
      <c r="G130" s="5">
        <f t="shared" si="1"/>
        <v>18850</v>
      </c>
    </row>
    <row r="131" spans="1:7" ht="15.6" x14ac:dyDescent="0.3">
      <c r="A131" s="6">
        <v>44347</v>
      </c>
      <c r="B131" s="7" t="s">
        <v>19</v>
      </c>
      <c r="C131" s="7" t="s">
        <v>13</v>
      </c>
      <c r="D131" s="7" t="s">
        <v>21</v>
      </c>
      <c r="E131" s="7">
        <v>23999</v>
      </c>
      <c r="F131" s="7">
        <v>8</v>
      </c>
      <c r="G131" s="8">
        <f t="shared" ref="G131:G194" si="2">E131*F131</f>
        <v>191992</v>
      </c>
    </row>
    <row r="132" spans="1:7" ht="15.6" x14ac:dyDescent="0.3">
      <c r="A132" s="3">
        <v>44351</v>
      </c>
      <c r="B132" s="4" t="s">
        <v>10</v>
      </c>
      <c r="C132" s="4" t="s">
        <v>16</v>
      </c>
      <c r="D132" s="4" t="s">
        <v>21</v>
      </c>
      <c r="E132" s="4">
        <v>92000</v>
      </c>
      <c r="F132" s="4">
        <v>7</v>
      </c>
      <c r="G132" s="5">
        <f t="shared" si="2"/>
        <v>644000</v>
      </c>
    </row>
    <row r="133" spans="1:7" ht="15.6" x14ac:dyDescent="0.3">
      <c r="A133" s="6">
        <v>44355</v>
      </c>
      <c r="B133" s="7" t="s">
        <v>23</v>
      </c>
      <c r="C133" s="7" t="s">
        <v>22</v>
      </c>
      <c r="D133" s="7" t="s">
        <v>14</v>
      </c>
      <c r="E133" s="7">
        <v>699</v>
      </c>
      <c r="F133" s="7">
        <v>45</v>
      </c>
      <c r="G133" s="8">
        <f t="shared" si="2"/>
        <v>31455</v>
      </c>
    </row>
    <row r="134" spans="1:7" ht="15.6" x14ac:dyDescent="0.3">
      <c r="A134" s="3">
        <v>44359</v>
      </c>
      <c r="B134" s="4" t="s">
        <v>7</v>
      </c>
      <c r="C134" s="4" t="s">
        <v>8</v>
      </c>
      <c r="D134" s="4" t="s">
        <v>9</v>
      </c>
      <c r="E134" s="4">
        <v>2550</v>
      </c>
      <c r="F134" s="4">
        <v>22</v>
      </c>
      <c r="G134" s="5">
        <f t="shared" si="2"/>
        <v>56100</v>
      </c>
    </row>
    <row r="135" spans="1:7" ht="15.6" x14ac:dyDescent="0.3">
      <c r="A135" s="6">
        <v>44363</v>
      </c>
      <c r="B135" s="7" t="s">
        <v>12</v>
      </c>
      <c r="C135" s="7" t="s">
        <v>20</v>
      </c>
      <c r="D135" s="7" t="s">
        <v>21</v>
      </c>
      <c r="E135" s="7">
        <v>22000</v>
      </c>
      <c r="F135" s="7">
        <v>4</v>
      </c>
      <c r="G135" s="8">
        <f t="shared" si="2"/>
        <v>88000</v>
      </c>
    </row>
    <row r="136" spans="1:7" ht="15.6" x14ac:dyDescent="0.3">
      <c r="A136" s="3">
        <v>44367</v>
      </c>
      <c r="B136" s="4" t="s">
        <v>19</v>
      </c>
      <c r="C136" s="4" t="s">
        <v>20</v>
      </c>
      <c r="D136" s="4" t="s">
        <v>9</v>
      </c>
      <c r="E136" s="4">
        <v>22000</v>
      </c>
      <c r="F136" s="4">
        <v>10</v>
      </c>
      <c r="G136" s="5">
        <f t="shared" si="2"/>
        <v>220000</v>
      </c>
    </row>
    <row r="137" spans="1:7" ht="15.6" x14ac:dyDescent="0.3">
      <c r="A137" s="6">
        <v>44371</v>
      </c>
      <c r="B137" s="7" t="s">
        <v>10</v>
      </c>
      <c r="C137" s="7" t="s">
        <v>22</v>
      </c>
      <c r="D137" s="7" t="s">
        <v>14</v>
      </c>
      <c r="E137" s="7">
        <v>1499</v>
      </c>
      <c r="F137" s="7">
        <v>16</v>
      </c>
      <c r="G137" s="8">
        <f t="shared" si="2"/>
        <v>23984</v>
      </c>
    </row>
    <row r="138" spans="1:7" ht="15.6" x14ac:dyDescent="0.3">
      <c r="A138" s="3">
        <v>44375</v>
      </c>
      <c r="B138" s="4" t="s">
        <v>15</v>
      </c>
      <c r="C138" s="4" t="s">
        <v>17</v>
      </c>
      <c r="D138" s="4" t="s">
        <v>21</v>
      </c>
      <c r="E138" s="4">
        <v>120</v>
      </c>
      <c r="F138" s="4">
        <v>22</v>
      </c>
      <c r="G138" s="5">
        <f t="shared" si="2"/>
        <v>2640</v>
      </c>
    </row>
    <row r="139" spans="1:7" ht="15.6" x14ac:dyDescent="0.3">
      <c r="A139" s="6">
        <v>44379</v>
      </c>
      <c r="B139" s="7" t="s">
        <v>7</v>
      </c>
      <c r="C139" s="7" t="s">
        <v>8</v>
      </c>
      <c r="D139" s="7" t="s">
        <v>11</v>
      </c>
      <c r="E139" s="7">
        <v>1450</v>
      </c>
      <c r="F139" s="7">
        <v>20</v>
      </c>
      <c r="G139" s="8">
        <f t="shared" si="2"/>
        <v>29000</v>
      </c>
    </row>
    <row r="140" spans="1:7" ht="15.6" x14ac:dyDescent="0.3">
      <c r="A140" s="3">
        <v>44383</v>
      </c>
      <c r="B140" s="4" t="s">
        <v>23</v>
      </c>
      <c r="C140" s="4" t="s">
        <v>22</v>
      </c>
      <c r="D140" s="4" t="s">
        <v>14</v>
      </c>
      <c r="E140" s="4">
        <v>1999</v>
      </c>
      <c r="F140" s="4">
        <v>23</v>
      </c>
      <c r="G140" s="5">
        <f t="shared" si="2"/>
        <v>45977</v>
      </c>
    </row>
    <row r="141" spans="1:7" ht="15.6" x14ac:dyDescent="0.3">
      <c r="A141" s="6">
        <v>44387</v>
      </c>
      <c r="B141" s="7" t="s">
        <v>10</v>
      </c>
      <c r="C141" s="7" t="s">
        <v>8</v>
      </c>
      <c r="D141" s="7" t="s">
        <v>24</v>
      </c>
      <c r="E141" s="7">
        <v>800</v>
      </c>
      <c r="F141" s="7">
        <v>43</v>
      </c>
      <c r="G141" s="8">
        <f t="shared" si="2"/>
        <v>34400</v>
      </c>
    </row>
    <row r="142" spans="1:7" ht="15.6" x14ac:dyDescent="0.3">
      <c r="A142" s="3">
        <v>44391</v>
      </c>
      <c r="B142" s="4" t="s">
        <v>15</v>
      </c>
      <c r="C142" s="4" t="s">
        <v>17</v>
      </c>
      <c r="D142" s="4" t="s">
        <v>21</v>
      </c>
      <c r="E142" s="4">
        <v>100</v>
      </c>
      <c r="F142" s="4">
        <v>41</v>
      </c>
      <c r="G142" s="5">
        <f t="shared" si="2"/>
        <v>4100</v>
      </c>
    </row>
    <row r="143" spans="1:7" ht="15.6" x14ac:dyDescent="0.3">
      <c r="A143" s="6">
        <v>44395</v>
      </c>
      <c r="B143" s="7" t="s">
        <v>7</v>
      </c>
      <c r="C143" s="7" t="s">
        <v>16</v>
      </c>
      <c r="D143" s="7" t="s">
        <v>21</v>
      </c>
      <c r="E143" s="7">
        <v>13999</v>
      </c>
      <c r="F143" s="7">
        <v>37</v>
      </c>
      <c r="G143" s="8">
        <f t="shared" si="2"/>
        <v>517963</v>
      </c>
    </row>
    <row r="144" spans="1:7" ht="15.6" x14ac:dyDescent="0.3">
      <c r="A144" s="3">
        <v>44399</v>
      </c>
      <c r="B144" s="4" t="s">
        <v>12</v>
      </c>
      <c r="C144" s="4" t="s">
        <v>20</v>
      </c>
      <c r="D144" s="4" t="s">
        <v>18</v>
      </c>
      <c r="E144" s="4">
        <v>22000</v>
      </c>
      <c r="F144" s="4">
        <v>45</v>
      </c>
      <c r="G144" s="5">
        <f t="shared" si="2"/>
        <v>990000</v>
      </c>
    </row>
    <row r="145" spans="1:7" ht="15.6" x14ac:dyDescent="0.3">
      <c r="A145" s="6">
        <v>44403</v>
      </c>
      <c r="B145" s="7" t="s">
        <v>19</v>
      </c>
      <c r="C145" s="7" t="s">
        <v>20</v>
      </c>
      <c r="D145" s="7" t="s">
        <v>24</v>
      </c>
      <c r="E145" s="7">
        <v>89999</v>
      </c>
      <c r="F145" s="7">
        <v>15</v>
      </c>
      <c r="G145" s="8">
        <f t="shared" si="2"/>
        <v>1349985</v>
      </c>
    </row>
    <row r="146" spans="1:7" ht="15.6" x14ac:dyDescent="0.3">
      <c r="A146" s="3">
        <v>44407</v>
      </c>
      <c r="B146" s="4" t="s">
        <v>7</v>
      </c>
      <c r="C146" s="4" t="s">
        <v>8</v>
      </c>
      <c r="D146" s="4" t="s">
        <v>18</v>
      </c>
      <c r="E146" s="4">
        <v>13999</v>
      </c>
      <c r="F146" s="4">
        <v>22</v>
      </c>
      <c r="G146" s="5">
        <f t="shared" si="2"/>
        <v>307978</v>
      </c>
    </row>
    <row r="147" spans="1:7" ht="15.6" x14ac:dyDescent="0.3">
      <c r="A147" s="6">
        <v>44411</v>
      </c>
      <c r="B147" s="7" t="s">
        <v>10</v>
      </c>
      <c r="C147" s="7" t="s">
        <v>22</v>
      </c>
      <c r="D147" s="7" t="s">
        <v>14</v>
      </c>
      <c r="E147" s="7">
        <v>2900</v>
      </c>
      <c r="F147" s="7">
        <v>20</v>
      </c>
      <c r="G147" s="8">
        <f t="shared" si="2"/>
        <v>58000</v>
      </c>
    </row>
    <row r="148" spans="1:7" ht="15.6" x14ac:dyDescent="0.3">
      <c r="A148" s="3">
        <v>44415</v>
      </c>
      <c r="B148" s="4" t="s">
        <v>19</v>
      </c>
      <c r="C148" s="4" t="s">
        <v>20</v>
      </c>
      <c r="D148" s="4" t="s">
        <v>18</v>
      </c>
      <c r="E148" s="4">
        <v>33000</v>
      </c>
      <c r="F148" s="4">
        <v>16</v>
      </c>
      <c r="G148" s="5">
        <f t="shared" si="2"/>
        <v>528000</v>
      </c>
    </row>
    <row r="149" spans="1:7" ht="15.6" x14ac:dyDescent="0.3">
      <c r="A149" s="6">
        <v>44419</v>
      </c>
      <c r="B149" s="7" t="s">
        <v>10</v>
      </c>
      <c r="C149" s="7" t="s">
        <v>20</v>
      </c>
      <c r="D149" s="7" t="s">
        <v>11</v>
      </c>
      <c r="E149" s="7">
        <v>22000</v>
      </c>
      <c r="F149" s="7">
        <v>17</v>
      </c>
      <c r="G149" s="8">
        <f t="shared" si="2"/>
        <v>374000</v>
      </c>
    </row>
    <row r="150" spans="1:7" ht="15.6" x14ac:dyDescent="0.3">
      <c r="A150" s="3">
        <v>44423</v>
      </c>
      <c r="B150" s="4" t="s">
        <v>10</v>
      </c>
      <c r="C150" s="4" t="s">
        <v>22</v>
      </c>
      <c r="D150" s="4" t="s">
        <v>11</v>
      </c>
      <c r="E150" s="4">
        <v>45000</v>
      </c>
      <c r="F150" s="4">
        <v>50</v>
      </c>
      <c r="G150" s="5">
        <f t="shared" si="2"/>
        <v>2250000</v>
      </c>
    </row>
    <row r="151" spans="1:7" ht="15.6" x14ac:dyDescent="0.3">
      <c r="A151" s="6">
        <v>44427</v>
      </c>
      <c r="B151" s="7" t="s">
        <v>19</v>
      </c>
      <c r="C151" s="7" t="s">
        <v>16</v>
      </c>
      <c r="D151" s="7" t="s">
        <v>14</v>
      </c>
      <c r="E151" s="7">
        <v>499</v>
      </c>
      <c r="F151" s="7">
        <v>4</v>
      </c>
      <c r="G151" s="8">
        <f t="shared" si="2"/>
        <v>1996</v>
      </c>
    </row>
    <row r="152" spans="1:7" ht="15.6" x14ac:dyDescent="0.3">
      <c r="A152" s="3">
        <v>44431</v>
      </c>
      <c r="B152" s="4" t="s">
        <v>23</v>
      </c>
      <c r="C152" s="4" t="s">
        <v>22</v>
      </c>
      <c r="D152" s="4" t="s">
        <v>18</v>
      </c>
      <c r="E152" s="4">
        <v>590</v>
      </c>
      <c r="F152" s="4">
        <v>43</v>
      </c>
      <c r="G152" s="5">
        <f t="shared" si="2"/>
        <v>25370</v>
      </c>
    </row>
    <row r="153" spans="1:7" ht="15.6" x14ac:dyDescent="0.3">
      <c r="A153" s="6">
        <v>44435</v>
      </c>
      <c r="B153" s="7" t="s">
        <v>12</v>
      </c>
      <c r="C153" s="7" t="s">
        <v>22</v>
      </c>
      <c r="D153" s="7" t="s">
        <v>11</v>
      </c>
      <c r="E153" s="7">
        <v>590</v>
      </c>
      <c r="F153" s="7">
        <v>42</v>
      </c>
      <c r="G153" s="8">
        <f t="shared" si="2"/>
        <v>24780</v>
      </c>
    </row>
    <row r="154" spans="1:7" ht="15.6" x14ac:dyDescent="0.3">
      <c r="A154" s="3">
        <v>44439</v>
      </c>
      <c r="B154" s="4" t="s">
        <v>15</v>
      </c>
      <c r="C154" s="4" t="s">
        <v>17</v>
      </c>
      <c r="D154" s="4" t="s">
        <v>9</v>
      </c>
      <c r="E154" s="4">
        <v>12000</v>
      </c>
      <c r="F154" s="4">
        <v>9</v>
      </c>
      <c r="G154" s="5">
        <f t="shared" si="2"/>
        <v>108000</v>
      </c>
    </row>
    <row r="155" spans="1:7" ht="15.6" x14ac:dyDescent="0.3">
      <c r="A155" s="6">
        <v>44443</v>
      </c>
      <c r="B155" s="7" t="s">
        <v>19</v>
      </c>
      <c r="C155" s="7" t="s">
        <v>20</v>
      </c>
      <c r="D155" s="7" t="s">
        <v>24</v>
      </c>
      <c r="E155" s="7">
        <v>52000</v>
      </c>
      <c r="F155" s="7">
        <v>40</v>
      </c>
      <c r="G155" s="8">
        <f t="shared" si="2"/>
        <v>2080000</v>
      </c>
    </row>
    <row r="156" spans="1:7" ht="15.6" x14ac:dyDescent="0.3">
      <c r="A156" s="3">
        <v>44447</v>
      </c>
      <c r="B156" s="4" t="s">
        <v>19</v>
      </c>
      <c r="C156" s="4" t="s">
        <v>13</v>
      </c>
      <c r="D156" s="4" t="s">
        <v>18</v>
      </c>
      <c r="E156" s="4">
        <v>7999</v>
      </c>
      <c r="F156" s="4">
        <v>14</v>
      </c>
      <c r="G156" s="5">
        <f t="shared" si="2"/>
        <v>111986</v>
      </c>
    </row>
    <row r="157" spans="1:7" ht="15.6" x14ac:dyDescent="0.3">
      <c r="A157" s="6">
        <v>44451</v>
      </c>
      <c r="B157" s="7" t="s">
        <v>10</v>
      </c>
      <c r="C157" s="7" t="s">
        <v>13</v>
      </c>
      <c r="D157" s="7" t="s">
        <v>21</v>
      </c>
      <c r="E157" s="7">
        <v>5000</v>
      </c>
      <c r="F157" s="7">
        <v>9</v>
      </c>
      <c r="G157" s="8">
        <f t="shared" si="2"/>
        <v>45000</v>
      </c>
    </row>
    <row r="158" spans="1:7" ht="15.6" x14ac:dyDescent="0.3">
      <c r="A158" s="3">
        <v>44455</v>
      </c>
      <c r="B158" s="4" t="s">
        <v>19</v>
      </c>
      <c r="C158" s="4" t="s">
        <v>20</v>
      </c>
      <c r="D158" s="4" t="s">
        <v>18</v>
      </c>
      <c r="E158" s="4">
        <v>79999</v>
      </c>
      <c r="F158" s="4">
        <v>10</v>
      </c>
      <c r="G158" s="5">
        <f t="shared" si="2"/>
        <v>799990</v>
      </c>
    </row>
    <row r="159" spans="1:7" ht="15.6" x14ac:dyDescent="0.3">
      <c r="A159" s="6">
        <v>44459</v>
      </c>
      <c r="B159" s="7" t="s">
        <v>23</v>
      </c>
      <c r="C159" s="7" t="s">
        <v>16</v>
      </c>
      <c r="D159" s="7" t="s">
        <v>14</v>
      </c>
      <c r="E159" s="7">
        <v>1999</v>
      </c>
      <c r="F159" s="7">
        <v>37</v>
      </c>
      <c r="G159" s="8">
        <f t="shared" si="2"/>
        <v>73963</v>
      </c>
    </row>
    <row r="160" spans="1:7" ht="15.6" x14ac:dyDescent="0.3">
      <c r="A160" s="3">
        <v>44463</v>
      </c>
      <c r="B160" s="4" t="s">
        <v>19</v>
      </c>
      <c r="C160" s="4" t="s">
        <v>20</v>
      </c>
      <c r="D160" s="4" t="s">
        <v>18</v>
      </c>
      <c r="E160" s="4">
        <v>89999</v>
      </c>
      <c r="F160" s="4">
        <v>29</v>
      </c>
      <c r="G160" s="5">
        <f t="shared" si="2"/>
        <v>2609971</v>
      </c>
    </row>
    <row r="161" spans="1:7" ht="15.6" x14ac:dyDescent="0.3">
      <c r="A161" s="6">
        <v>44467</v>
      </c>
      <c r="B161" s="7" t="s">
        <v>12</v>
      </c>
      <c r="C161" s="7" t="s">
        <v>20</v>
      </c>
      <c r="D161" s="7" t="s">
        <v>9</v>
      </c>
      <c r="E161" s="7">
        <v>799</v>
      </c>
      <c r="F161" s="7">
        <v>44</v>
      </c>
      <c r="G161" s="8">
        <f t="shared" si="2"/>
        <v>35156</v>
      </c>
    </row>
    <row r="162" spans="1:7" ht="15.6" x14ac:dyDescent="0.3">
      <c r="A162" s="3">
        <v>44471</v>
      </c>
      <c r="B162" s="4" t="s">
        <v>19</v>
      </c>
      <c r="C162" s="4" t="s">
        <v>20</v>
      </c>
      <c r="D162" s="4" t="s">
        <v>11</v>
      </c>
      <c r="E162" s="4">
        <v>3990</v>
      </c>
      <c r="F162" s="4">
        <v>31</v>
      </c>
      <c r="G162" s="5">
        <f t="shared" si="2"/>
        <v>123690</v>
      </c>
    </row>
    <row r="163" spans="1:7" ht="15.6" x14ac:dyDescent="0.3">
      <c r="A163" s="6">
        <v>44475</v>
      </c>
      <c r="B163" s="7" t="s">
        <v>10</v>
      </c>
      <c r="C163" s="7" t="s">
        <v>20</v>
      </c>
      <c r="D163" s="7" t="s">
        <v>14</v>
      </c>
      <c r="E163" s="7">
        <v>52000</v>
      </c>
      <c r="F163" s="7">
        <v>29</v>
      </c>
      <c r="G163" s="8">
        <f t="shared" si="2"/>
        <v>1508000</v>
      </c>
    </row>
    <row r="164" spans="1:7" ht="15.6" x14ac:dyDescent="0.3">
      <c r="A164" s="3">
        <v>44479</v>
      </c>
      <c r="B164" s="4" t="s">
        <v>10</v>
      </c>
      <c r="C164" s="4" t="s">
        <v>8</v>
      </c>
      <c r="D164" s="4" t="s">
        <v>18</v>
      </c>
      <c r="E164" s="4">
        <v>13999</v>
      </c>
      <c r="F164" s="4">
        <v>34</v>
      </c>
      <c r="G164" s="5">
        <f t="shared" si="2"/>
        <v>475966</v>
      </c>
    </row>
    <row r="165" spans="1:7" ht="15.6" x14ac:dyDescent="0.3">
      <c r="A165" s="6">
        <v>44483</v>
      </c>
      <c r="B165" s="7" t="s">
        <v>15</v>
      </c>
      <c r="C165" s="7" t="s">
        <v>17</v>
      </c>
      <c r="D165" s="7" t="s">
        <v>14</v>
      </c>
      <c r="E165" s="7">
        <v>14500</v>
      </c>
      <c r="F165" s="7">
        <v>29</v>
      </c>
      <c r="G165" s="8">
        <f t="shared" si="2"/>
        <v>420500</v>
      </c>
    </row>
    <row r="166" spans="1:7" ht="15.6" x14ac:dyDescent="0.3">
      <c r="A166" s="3">
        <v>44487</v>
      </c>
      <c r="B166" s="4" t="s">
        <v>19</v>
      </c>
      <c r="C166" s="4" t="s">
        <v>13</v>
      </c>
      <c r="D166" s="4" t="s">
        <v>24</v>
      </c>
      <c r="E166" s="4">
        <v>23999</v>
      </c>
      <c r="F166" s="4">
        <v>25</v>
      </c>
      <c r="G166" s="5">
        <f t="shared" si="2"/>
        <v>599975</v>
      </c>
    </row>
    <row r="167" spans="1:7" ht="15.6" x14ac:dyDescent="0.3">
      <c r="A167" s="6">
        <v>44491</v>
      </c>
      <c r="B167" s="7" t="s">
        <v>19</v>
      </c>
      <c r="C167" s="7" t="s">
        <v>13</v>
      </c>
      <c r="D167" s="7" t="s">
        <v>18</v>
      </c>
      <c r="E167" s="7">
        <v>1250</v>
      </c>
      <c r="F167" s="7">
        <v>31</v>
      </c>
      <c r="G167" s="8">
        <f t="shared" si="2"/>
        <v>38750</v>
      </c>
    </row>
    <row r="168" spans="1:7" ht="15.6" x14ac:dyDescent="0.3">
      <c r="A168" s="3">
        <v>44495</v>
      </c>
      <c r="B168" s="4" t="s">
        <v>23</v>
      </c>
      <c r="C168" s="4" t="s">
        <v>16</v>
      </c>
      <c r="D168" s="4" t="s">
        <v>18</v>
      </c>
      <c r="E168" s="4">
        <v>35600</v>
      </c>
      <c r="F168" s="4">
        <v>16</v>
      </c>
      <c r="G168" s="5">
        <f t="shared" si="2"/>
        <v>569600</v>
      </c>
    </row>
    <row r="169" spans="1:7" ht="15.6" x14ac:dyDescent="0.3">
      <c r="A169" s="6">
        <v>44499</v>
      </c>
      <c r="B169" s="7" t="s">
        <v>15</v>
      </c>
      <c r="C169" s="7" t="s">
        <v>17</v>
      </c>
      <c r="D169" s="7" t="s">
        <v>18</v>
      </c>
      <c r="E169" s="7">
        <v>65000</v>
      </c>
      <c r="F169" s="7">
        <v>48</v>
      </c>
      <c r="G169" s="8">
        <f t="shared" si="2"/>
        <v>3120000</v>
      </c>
    </row>
    <row r="170" spans="1:7" ht="15.6" x14ac:dyDescent="0.3">
      <c r="A170" s="3">
        <v>44503</v>
      </c>
      <c r="B170" s="4" t="s">
        <v>12</v>
      </c>
      <c r="C170" s="4" t="s">
        <v>17</v>
      </c>
      <c r="D170" s="4" t="s">
        <v>24</v>
      </c>
      <c r="E170" s="4">
        <v>12000</v>
      </c>
      <c r="F170" s="4">
        <v>22</v>
      </c>
      <c r="G170" s="5">
        <f t="shared" si="2"/>
        <v>264000</v>
      </c>
    </row>
    <row r="171" spans="1:7" ht="15.6" x14ac:dyDescent="0.3">
      <c r="A171" s="6">
        <v>44507</v>
      </c>
      <c r="B171" s="7" t="s">
        <v>23</v>
      </c>
      <c r="C171" s="7" t="s">
        <v>22</v>
      </c>
      <c r="D171" s="7" t="s">
        <v>18</v>
      </c>
      <c r="E171" s="7">
        <v>699</v>
      </c>
      <c r="F171" s="7">
        <v>6</v>
      </c>
      <c r="G171" s="8">
        <f t="shared" si="2"/>
        <v>4194</v>
      </c>
    </row>
    <row r="172" spans="1:7" ht="15.6" x14ac:dyDescent="0.3">
      <c r="A172" s="3">
        <v>44511</v>
      </c>
      <c r="B172" s="4" t="s">
        <v>23</v>
      </c>
      <c r="C172" s="4" t="s">
        <v>16</v>
      </c>
      <c r="D172" s="4" t="s">
        <v>14</v>
      </c>
      <c r="E172" s="4">
        <v>990</v>
      </c>
      <c r="F172" s="4">
        <v>12</v>
      </c>
      <c r="G172" s="5">
        <f t="shared" si="2"/>
        <v>11880</v>
      </c>
    </row>
    <row r="173" spans="1:7" ht="15.6" x14ac:dyDescent="0.3">
      <c r="A173" s="6">
        <v>44515</v>
      </c>
      <c r="B173" s="7" t="s">
        <v>23</v>
      </c>
      <c r="C173" s="7" t="s">
        <v>22</v>
      </c>
      <c r="D173" s="7" t="s">
        <v>9</v>
      </c>
      <c r="E173" s="7">
        <v>450</v>
      </c>
      <c r="F173" s="7">
        <v>44</v>
      </c>
      <c r="G173" s="8">
        <f t="shared" si="2"/>
        <v>19800</v>
      </c>
    </row>
    <row r="174" spans="1:7" ht="15.6" x14ac:dyDescent="0.3">
      <c r="A174" s="3">
        <v>44519</v>
      </c>
      <c r="B174" s="4" t="s">
        <v>23</v>
      </c>
      <c r="C174" s="4" t="s">
        <v>16</v>
      </c>
      <c r="D174" s="4" t="s">
        <v>9</v>
      </c>
      <c r="E174" s="4">
        <v>1499</v>
      </c>
      <c r="F174" s="4">
        <v>15</v>
      </c>
      <c r="G174" s="5">
        <f t="shared" si="2"/>
        <v>22485</v>
      </c>
    </row>
    <row r="175" spans="1:7" ht="15.6" x14ac:dyDescent="0.3">
      <c r="A175" s="6">
        <v>44523</v>
      </c>
      <c r="B175" s="7" t="s">
        <v>7</v>
      </c>
      <c r="C175" s="7" t="s">
        <v>8</v>
      </c>
      <c r="D175" s="7" t="s">
        <v>21</v>
      </c>
      <c r="E175" s="7">
        <v>499</v>
      </c>
      <c r="F175" s="7">
        <v>26</v>
      </c>
      <c r="G175" s="8">
        <f t="shared" si="2"/>
        <v>12974</v>
      </c>
    </row>
    <row r="176" spans="1:7" ht="15.6" x14ac:dyDescent="0.3">
      <c r="A176" s="3">
        <v>44527</v>
      </c>
      <c r="B176" s="4" t="s">
        <v>19</v>
      </c>
      <c r="C176" s="4" t="s">
        <v>13</v>
      </c>
      <c r="D176" s="4" t="s">
        <v>21</v>
      </c>
      <c r="E176" s="4">
        <v>960</v>
      </c>
      <c r="F176" s="4">
        <v>16</v>
      </c>
      <c r="G176" s="5">
        <f t="shared" si="2"/>
        <v>15360</v>
      </c>
    </row>
    <row r="177" spans="1:7" ht="15.6" x14ac:dyDescent="0.3">
      <c r="A177" s="6">
        <v>44531</v>
      </c>
      <c r="B177" s="7" t="s">
        <v>12</v>
      </c>
      <c r="C177" s="7" t="s">
        <v>16</v>
      </c>
      <c r="D177" s="7" t="s">
        <v>18</v>
      </c>
      <c r="E177" s="7">
        <v>5599</v>
      </c>
      <c r="F177" s="7">
        <v>35</v>
      </c>
      <c r="G177" s="8">
        <f t="shared" si="2"/>
        <v>195965</v>
      </c>
    </row>
    <row r="178" spans="1:7" ht="15.6" x14ac:dyDescent="0.3">
      <c r="A178" s="3">
        <v>44535</v>
      </c>
      <c r="B178" s="4" t="s">
        <v>15</v>
      </c>
      <c r="C178" s="4" t="s">
        <v>17</v>
      </c>
      <c r="D178" s="4" t="s">
        <v>9</v>
      </c>
      <c r="E178" s="4">
        <v>89</v>
      </c>
      <c r="F178" s="4">
        <v>36</v>
      </c>
      <c r="G178" s="5">
        <f t="shared" si="2"/>
        <v>3204</v>
      </c>
    </row>
    <row r="179" spans="1:7" ht="15.6" x14ac:dyDescent="0.3">
      <c r="A179" s="6">
        <v>44539</v>
      </c>
      <c r="B179" s="7" t="s">
        <v>7</v>
      </c>
      <c r="C179" s="7" t="s">
        <v>8</v>
      </c>
      <c r="D179" s="7" t="s">
        <v>14</v>
      </c>
      <c r="E179" s="7">
        <v>2550</v>
      </c>
      <c r="F179" s="7">
        <v>20</v>
      </c>
      <c r="G179" s="8">
        <f t="shared" si="2"/>
        <v>51000</v>
      </c>
    </row>
    <row r="180" spans="1:7" ht="15.6" x14ac:dyDescent="0.3">
      <c r="A180" s="3">
        <v>44543</v>
      </c>
      <c r="B180" s="4" t="s">
        <v>7</v>
      </c>
      <c r="C180" s="4" t="s">
        <v>8</v>
      </c>
      <c r="D180" s="4" t="s">
        <v>9</v>
      </c>
      <c r="E180" s="4">
        <v>1450</v>
      </c>
      <c r="F180" s="4">
        <v>47</v>
      </c>
      <c r="G180" s="5">
        <f t="shared" si="2"/>
        <v>68150</v>
      </c>
    </row>
    <row r="181" spans="1:7" ht="15.6" x14ac:dyDescent="0.3">
      <c r="A181" s="6">
        <v>44547</v>
      </c>
      <c r="B181" s="7" t="s">
        <v>23</v>
      </c>
      <c r="C181" s="7" t="s">
        <v>22</v>
      </c>
      <c r="D181" s="7" t="s">
        <v>18</v>
      </c>
      <c r="E181" s="7">
        <v>2900</v>
      </c>
      <c r="F181" s="7">
        <v>6</v>
      </c>
      <c r="G181" s="8">
        <f t="shared" si="2"/>
        <v>17400</v>
      </c>
    </row>
    <row r="182" spans="1:7" ht="15.6" x14ac:dyDescent="0.3">
      <c r="A182" s="3">
        <v>44551</v>
      </c>
      <c r="B182" s="4" t="s">
        <v>15</v>
      </c>
      <c r="C182" s="4" t="s">
        <v>17</v>
      </c>
      <c r="D182" s="4" t="s">
        <v>21</v>
      </c>
      <c r="E182" s="4">
        <v>120</v>
      </c>
      <c r="F182" s="4">
        <v>6</v>
      </c>
      <c r="G182" s="5">
        <f t="shared" si="2"/>
        <v>720</v>
      </c>
    </row>
    <row r="183" spans="1:7" ht="15.6" x14ac:dyDescent="0.3">
      <c r="A183" s="6">
        <v>44555</v>
      </c>
      <c r="B183" s="7" t="s">
        <v>19</v>
      </c>
      <c r="C183" s="7" t="s">
        <v>20</v>
      </c>
      <c r="D183" s="7" t="s">
        <v>21</v>
      </c>
      <c r="E183" s="7">
        <v>52000</v>
      </c>
      <c r="F183" s="7">
        <v>41</v>
      </c>
      <c r="G183" s="8">
        <f t="shared" si="2"/>
        <v>2132000</v>
      </c>
    </row>
    <row r="184" spans="1:7" ht="15.6" x14ac:dyDescent="0.3">
      <c r="A184" s="3">
        <v>44559</v>
      </c>
      <c r="B184" s="4" t="s">
        <v>23</v>
      </c>
      <c r="C184" s="4" t="s">
        <v>22</v>
      </c>
      <c r="D184" s="4" t="s">
        <v>14</v>
      </c>
      <c r="E184" s="4">
        <v>590</v>
      </c>
      <c r="F184" s="4">
        <v>29</v>
      </c>
      <c r="G184" s="5">
        <f t="shared" si="2"/>
        <v>17110</v>
      </c>
    </row>
    <row r="185" spans="1:7" ht="15.6" x14ac:dyDescent="0.3">
      <c r="A185" s="6">
        <v>44563</v>
      </c>
      <c r="B185" s="7" t="s">
        <v>19</v>
      </c>
      <c r="C185" s="7" t="s">
        <v>16</v>
      </c>
      <c r="D185" s="7" t="s">
        <v>24</v>
      </c>
      <c r="E185" s="7">
        <v>7999</v>
      </c>
      <c r="F185" s="7">
        <v>31</v>
      </c>
      <c r="G185" s="8">
        <f t="shared" si="2"/>
        <v>247969</v>
      </c>
    </row>
    <row r="186" spans="1:7" ht="15.6" x14ac:dyDescent="0.3">
      <c r="A186" s="3">
        <v>44567</v>
      </c>
      <c r="B186" s="4" t="s">
        <v>10</v>
      </c>
      <c r="C186" s="4" t="s">
        <v>17</v>
      </c>
      <c r="D186" s="4" t="s">
        <v>14</v>
      </c>
      <c r="E186" s="4">
        <v>999</v>
      </c>
      <c r="F186" s="4">
        <v>34</v>
      </c>
      <c r="G186" s="5">
        <f t="shared" si="2"/>
        <v>33966</v>
      </c>
    </row>
    <row r="187" spans="1:7" ht="15.6" x14ac:dyDescent="0.3">
      <c r="A187" s="6">
        <v>44571</v>
      </c>
      <c r="B187" s="7" t="s">
        <v>12</v>
      </c>
      <c r="C187" s="7" t="s">
        <v>22</v>
      </c>
      <c r="D187" s="7" t="s">
        <v>9</v>
      </c>
      <c r="E187" s="7">
        <v>990</v>
      </c>
      <c r="F187" s="7">
        <v>43</v>
      </c>
      <c r="G187" s="8">
        <f t="shared" si="2"/>
        <v>42570</v>
      </c>
    </row>
    <row r="188" spans="1:7" ht="15.6" x14ac:dyDescent="0.3">
      <c r="A188" s="3">
        <v>44575</v>
      </c>
      <c r="B188" s="4" t="s">
        <v>19</v>
      </c>
      <c r="C188" s="4" t="s">
        <v>20</v>
      </c>
      <c r="D188" s="4" t="s">
        <v>9</v>
      </c>
      <c r="E188" s="4">
        <v>11999</v>
      </c>
      <c r="F188" s="4">
        <v>37</v>
      </c>
      <c r="G188" s="5">
        <f t="shared" si="2"/>
        <v>443963</v>
      </c>
    </row>
    <row r="189" spans="1:7" ht="15.6" x14ac:dyDescent="0.3">
      <c r="A189" s="6">
        <v>44579</v>
      </c>
      <c r="B189" s="7" t="s">
        <v>19</v>
      </c>
      <c r="C189" s="7" t="s">
        <v>13</v>
      </c>
      <c r="D189" s="7" t="s">
        <v>9</v>
      </c>
      <c r="E189" s="7">
        <v>960</v>
      </c>
      <c r="F189" s="7">
        <v>7</v>
      </c>
      <c r="G189" s="8">
        <f t="shared" si="2"/>
        <v>6720</v>
      </c>
    </row>
    <row r="190" spans="1:7" ht="15.6" x14ac:dyDescent="0.3">
      <c r="A190" s="3">
        <v>44583</v>
      </c>
      <c r="B190" s="4" t="s">
        <v>7</v>
      </c>
      <c r="C190" s="4" t="s">
        <v>8</v>
      </c>
      <c r="D190" s="4" t="s">
        <v>14</v>
      </c>
      <c r="E190" s="4">
        <v>1450</v>
      </c>
      <c r="F190" s="4">
        <v>19</v>
      </c>
      <c r="G190" s="5">
        <f t="shared" si="2"/>
        <v>27550</v>
      </c>
    </row>
    <row r="191" spans="1:7" ht="15.6" x14ac:dyDescent="0.3">
      <c r="A191" s="6">
        <v>44587</v>
      </c>
      <c r="B191" s="7" t="s">
        <v>23</v>
      </c>
      <c r="C191" s="7" t="s">
        <v>22</v>
      </c>
      <c r="D191" s="7" t="s">
        <v>11</v>
      </c>
      <c r="E191" s="7">
        <v>450</v>
      </c>
      <c r="F191" s="7">
        <v>47</v>
      </c>
      <c r="G191" s="8">
        <f t="shared" si="2"/>
        <v>21150</v>
      </c>
    </row>
    <row r="192" spans="1:7" ht="15.6" x14ac:dyDescent="0.3">
      <c r="A192" s="3">
        <v>44591</v>
      </c>
      <c r="B192" s="4" t="s">
        <v>10</v>
      </c>
      <c r="C192" s="4" t="s">
        <v>22</v>
      </c>
      <c r="D192" s="4" t="s">
        <v>14</v>
      </c>
      <c r="E192" s="4">
        <v>1499</v>
      </c>
      <c r="F192" s="4">
        <v>37</v>
      </c>
      <c r="G192" s="5">
        <f t="shared" si="2"/>
        <v>55463</v>
      </c>
    </row>
    <row r="193" spans="1:7" ht="15.6" x14ac:dyDescent="0.3">
      <c r="A193" s="6">
        <v>44595</v>
      </c>
      <c r="B193" s="7" t="s">
        <v>12</v>
      </c>
      <c r="C193" s="7" t="s">
        <v>20</v>
      </c>
      <c r="D193" s="7" t="s">
        <v>11</v>
      </c>
      <c r="E193" s="7">
        <v>79999</v>
      </c>
      <c r="F193" s="7">
        <v>4</v>
      </c>
      <c r="G193" s="8">
        <f t="shared" si="2"/>
        <v>319996</v>
      </c>
    </row>
    <row r="194" spans="1:7" ht="15.6" x14ac:dyDescent="0.3">
      <c r="A194" s="3">
        <v>44599</v>
      </c>
      <c r="B194" s="4" t="s">
        <v>12</v>
      </c>
      <c r="C194" s="4" t="s">
        <v>17</v>
      </c>
      <c r="D194" s="4" t="s">
        <v>21</v>
      </c>
      <c r="E194" s="4">
        <v>999</v>
      </c>
      <c r="F194" s="4">
        <v>45</v>
      </c>
      <c r="G194" s="5">
        <f t="shared" si="2"/>
        <v>44955</v>
      </c>
    </row>
    <row r="195" spans="1:7" ht="15.6" x14ac:dyDescent="0.3">
      <c r="A195" s="6">
        <v>44603</v>
      </c>
      <c r="B195" s="7" t="s">
        <v>19</v>
      </c>
      <c r="C195" s="7" t="s">
        <v>20</v>
      </c>
      <c r="D195" s="7" t="s">
        <v>9</v>
      </c>
      <c r="E195" s="7">
        <v>52000</v>
      </c>
      <c r="F195" s="7">
        <v>15</v>
      </c>
      <c r="G195" s="8">
        <f t="shared" ref="G195:G258" si="3">E195*F195</f>
        <v>780000</v>
      </c>
    </row>
    <row r="196" spans="1:7" ht="15.6" x14ac:dyDescent="0.3">
      <c r="A196" s="3">
        <v>44607</v>
      </c>
      <c r="B196" s="4" t="s">
        <v>19</v>
      </c>
      <c r="C196" s="4" t="s">
        <v>20</v>
      </c>
      <c r="D196" s="4" t="s">
        <v>18</v>
      </c>
      <c r="E196" s="4">
        <v>52000</v>
      </c>
      <c r="F196" s="4">
        <v>39</v>
      </c>
      <c r="G196" s="5">
        <f t="shared" si="3"/>
        <v>2028000</v>
      </c>
    </row>
    <row r="197" spans="1:7" ht="15.6" x14ac:dyDescent="0.3">
      <c r="A197" s="6">
        <v>44611</v>
      </c>
      <c r="B197" s="7" t="s">
        <v>19</v>
      </c>
      <c r="C197" s="7" t="s">
        <v>13</v>
      </c>
      <c r="D197" s="7" t="s">
        <v>14</v>
      </c>
      <c r="E197" s="7">
        <v>960</v>
      </c>
      <c r="F197" s="7">
        <v>33</v>
      </c>
      <c r="G197" s="8">
        <f t="shared" si="3"/>
        <v>31680</v>
      </c>
    </row>
    <row r="198" spans="1:7" ht="15.6" x14ac:dyDescent="0.3">
      <c r="A198" s="3">
        <v>44615</v>
      </c>
      <c r="B198" s="4" t="s">
        <v>19</v>
      </c>
      <c r="C198" s="4" t="s">
        <v>13</v>
      </c>
      <c r="D198" s="4" t="s">
        <v>14</v>
      </c>
      <c r="E198" s="4">
        <v>1450</v>
      </c>
      <c r="F198" s="4">
        <v>34</v>
      </c>
      <c r="G198" s="5">
        <f t="shared" si="3"/>
        <v>49300</v>
      </c>
    </row>
    <row r="199" spans="1:7" ht="15.6" x14ac:dyDescent="0.3">
      <c r="A199" s="6">
        <v>44619</v>
      </c>
      <c r="B199" s="7" t="s">
        <v>19</v>
      </c>
      <c r="C199" s="7" t="s">
        <v>16</v>
      </c>
      <c r="D199" s="7" t="s">
        <v>18</v>
      </c>
      <c r="E199" s="7">
        <v>2999</v>
      </c>
      <c r="F199" s="7">
        <v>33</v>
      </c>
      <c r="G199" s="8">
        <f t="shared" si="3"/>
        <v>98967</v>
      </c>
    </row>
    <row r="200" spans="1:7" ht="15.6" x14ac:dyDescent="0.3">
      <c r="A200" s="3">
        <v>44623</v>
      </c>
      <c r="B200" s="4" t="s">
        <v>12</v>
      </c>
      <c r="C200" s="4" t="s">
        <v>13</v>
      </c>
      <c r="D200" s="4" t="s">
        <v>21</v>
      </c>
      <c r="E200" s="4">
        <v>1250</v>
      </c>
      <c r="F200" s="4">
        <v>14</v>
      </c>
      <c r="G200" s="5">
        <f t="shared" si="3"/>
        <v>17500</v>
      </c>
    </row>
    <row r="201" spans="1:7" ht="15.6" x14ac:dyDescent="0.3">
      <c r="A201" s="6">
        <v>44627</v>
      </c>
      <c r="B201" s="7" t="s">
        <v>15</v>
      </c>
      <c r="C201" s="7" t="s">
        <v>17</v>
      </c>
      <c r="D201" s="7" t="s">
        <v>9</v>
      </c>
      <c r="E201" s="7">
        <v>120</v>
      </c>
      <c r="F201" s="7">
        <v>41</v>
      </c>
      <c r="G201" s="8">
        <f t="shared" si="3"/>
        <v>4920</v>
      </c>
    </row>
    <row r="202" spans="1:7" ht="15.6" x14ac:dyDescent="0.3">
      <c r="A202" s="3">
        <v>44631</v>
      </c>
      <c r="B202" s="4" t="s">
        <v>10</v>
      </c>
      <c r="C202" s="4" t="s">
        <v>8</v>
      </c>
      <c r="D202" s="4" t="s">
        <v>18</v>
      </c>
      <c r="E202" s="4">
        <v>1450</v>
      </c>
      <c r="F202" s="4">
        <v>22</v>
      </c>
      <c r="G202" s="5">
        <f t="shared" si="3"/>
        <v>31900</v>
      </c>
    </row>
    <row r="203" spans="1:7" ht="15.6" x14ac:dyDescent="0.3">
      <c r="A203" s="6">
        <v>44635</v>
      </c>
      <c r="B203" s="7" t="s">
        <v>10</v>
      </c>
      <c r="C203" s="7" t="s">
        <v>20</v>
      </c>
      <c r="D203" s="7" t="s">
        <v>9</v>
      </c>
      <c r="E203" s="7">
        <v>89999</v>
      </c>
      <c r="F203" s="7">
        <v>15</v>
      </c>
      <c r="G203" s="8">
        <f t="shared" si="3"/>
        <v>1349985</v>
      </c>
    </row>
    <row r="204" spans="1:7" ht="15.6" x14ac:dyDescent="0.3">
      <c r="A204" s="3">
        <v>44639</v>
      </c>
      <c r="B204" s="4" t="s">
        <v>23</v>
      </c>
      <c r="C204" s="4" t="s">
        <v>22</v>
      </c>
      <c r="D204" s="4" t="s">
        <v>14</v>
      </c>
      <c r="E204" s="4">
        <v>1999</v>
      </c>
      <c r="F204" s="4">
        <v>48</v>
      </c>
      <c r="G204" s="5">
        <f t="shared" si="3"/>
        <v>95952</v>
      </c>
    </row>
    <row r="205" spans="1:7" ht="15.6" x14ac:dyDescent="0.3">
      <c r="A205" s="6">
        <v>44643</v>
      </c>
      <c r="B205" s="7" t="s">
        <v>23</v>
      </c>
      <c r="C205" s="7" t="s">
        <v>16</v>
      </c>
      <c r="D205" s="7" t="s">
        <v>18</v>
      </c>
      <c r="E205" s="7">
        <v>2900</v>
      </c>
      <c r="F205" s="7">
        <v>49</v>
      </c>
      <c r="G205" s="8">
        <f t="shared" si="3"/>
        <v>142100</v>
      </c>
    </row>
    <row r="206" spans="1:7" ht="15.6" x14ac:dyDescent="0.3">
      <c r="A206" s="3">
        <v>44647</v>
      </c>
      <c r="B206" s="4" t="s">
        <v>19</v>
      </c>
      <c r="C206" s="4" t="s">
        <v>20</v>
      </c>
      <c r="D206" s="4" t="s">
        <v>21</v>
      </c>
      <c r="E206" s="4">
        <v>700</v>
      </c>
      <c r="F206" s="4">
        <v>50</v>
      </c>
      <c r="G206" s="5">
        <f t="shared" si="3"/>
        <v>35000</v>
      </c>
    </row>
    <row r="207" spans="1:7" ht="15.6" x14ac:dyDescent="0.3">
      <c r="A207" s="6">
        <v>44651</v>
      </c>
      <c r="B207" s="7" t="s">
        <v>15</v>
      </c>
      <c r="C207" s="7" t="s">
        <v>17</v>
      </c>
      <c r="D207" s="7" t="s">
        <v>18</v>
      </c>
      <c r="E207" s="7">
        <v>200</v>
      </c>
      <c r="F207" s="7">
        <v>41</v>
      </c>
      <c r="G207" s="8">
        <f t="shared" si="3"/>
        <v>8200</v>
      </c>
    </row>
    <row r="208" spans="1:7" ht="15.6" x14ac:dyDescent="0.3">
      <c r="A208" s="3">
        <v>44655</v>
      </c>
      <c r="B208" s="4" t="s">
        <v>7</v>
      </c>
      <c r="C208" s="4" t="s">
        <v>8</v>
      </c>
      <c r="D208" s="4" t="s">
        <v>14</v>
      </c>
      <c r="E208" s="4">
        <v>499</v>
      </c>
      <c r="F208" s="4">
        <v>29</v>
      </c>
      <c r="G208" s="5">
        <f t="shared" si="3"/>
        <v>14471</v>
      </c>
    </row>
    <row r="209" spans="1:7" ht="15.6" x14ac:dyDescent="0.3">
      <c r="A209" s="6">
        <v>44659</v>
      </c>
      <c r="B209" s="7" t="s">
        <v>12</v>
      </c>
      <c r="C209" s="7" t="s">
        <v>8</v>
      </c>
      <c r="D209" s="7" t="s">
        <v>24</v>
      </c>
      <c r="E209" s="7">
        <v>5599</v>
      </c>
      <c r="F209" s="7">
        <v>36</v>
      </c>
      <c r="G209" s="8">
        <f t="shared" si="3"/>
        <v>201564</v>
      </c>
    </row>
    <row r="210" spans="1:7" ht="15.6" x14ac:dyDescent="0.3">
      <c r="A210" s="3">
        <v>44663</v>
      </c>
      <c r="B210" s="4" t="s">
        <v>10</v>
      </c>
      <c r="C210" s="4" t="s">
        <v>17</v>
      </c>
      <c r="D210" s="4" t="s">
        <v>18</v>
      </c>
      <c r="E210" s="4">
        <v>100</v>
      </c>
      <c r="F210" s="4">
        <v>39</v>
      </c>
      <c r="G210" s="5">
        <f t="shared" si="3"/>
        <v>3900</v>
      </c>
    </row>
    <row r="211" spans="1:7" ht="15.6" x14ac:dyDescent="0.3">
      <c r="A211" s="6">
        <v>44667</v>
      </c>
      <c r="B211" s="7" t="s">
        <v>19</v>
      </c>
      <c r="C211" s="7" t="s">
        <v>16</v>
      </c>
      <c r="D211" s="7" t="s">
        <v>18</v>
      </c>
      <c r="E211" s="7">
        <v>79999</v>
      </c>
      <c r="F211" s="7">
        <v>9</v>
      </c>
      <c r="G211" s="8">
        <f t="shared" si="3"/>
        <v>719991</v>
      </c>
    </row>
    <row r="212" spans="1:7" ht="15.6" x14ac:dyDescent="0.3">
      <c r="A212" s="3">
        <v>44671</v>
      </c>
      <c r="B212" s="4" t="s">
        <v>12</v>
      </c>
      <c r="C212" s="4" t="s">
        <v>20</v>
      </c>
      <c r="D212" s="4" t="s">
        <v>14</v>
      </c>
      <c r="E212" s="4">
        <v>700</v>
      </c>
      <c r="F212" s="4">
        <v>38</v>
      </c>
      <c r="G212" s="5">
        <f t="shared" si="3"/>
        <v>26600</v>
      </c>
    </row>
    <row r="213" spans="1:7" ht="15.6" x14ac:dyDescent="0.3">
      <c r="A213" s="6">
        <v>44675</v>
      </c>
      <c r="B213" s="7" t="s">
        <v>19</v>
      </c>
      <c r="C213" s="7" t="s">
        <v>13</v>
      </c>
      <c r="D213" s="7" t="s">
        <v>9</v>
      </c>
      <c r="E213" s="7">
        <v>550</v>
      </c>
      <c r="F213" s="7">
        <v>25</v>
      </c>
      <c r="G213" s="8">
        <f t="shared" si="3"/>
        <v>13750</v>
      </c>
    </row>
    <row r="214" spans="1:7" ht="15.6" x14ac:dyDescent="0.3">
      <c r="A214" s="3">
        <v>44679</v>
      </c>
      <c r="B214" s="4" t="s">
        <v>23</v>
      </c>
      <c r="C214" s="4" t="s">
        <v>22</v>
      </c>
      <c r="D214" s="4" t="s">
        <v>18</v>
      </c>
      <c r="E214" s="4">
        <v>1499</v>
      </c>
      <c r="F214" s="4">
        <v>16</v>
      </c>
      <c r="G214" s="5">
        <f t="shared" si="3"/>
        <v>23984</v>
      </c>
    </row>
    <row r="215" spans="1:7" ht="15.6" x14ac:dyDescent="0.3">
      <c r="A215" s="6">
        <v>44683</v>
      </c>
      <c r="B215" s="7" t="s">
        <v>15</v>
      </c>
      <c r="C215" s="7" t="s">
        <v>17</v>
      </c>
      <c r="D215" s="7" t="s">
        <v>21</v>
      </c>
      <c r="E215" s="7">
        <v>120</v>
      </c>
      <c r="F215" s="7">
        <v>22</v>
      </c>
      <c r="G215" s="8">
        <f t="shared" si="3"/>
        <v>2640</v>
      </c>
    </row>
    <row r="216" spans="1:7" ht="15.6" x14ac:dyDescent="0.3">
      <c r="A216" s="3">
        <v>44687</v>
      </c>
      <c r="B216" s="4" t="s">
        <v>7</v>
      </c>
      <c r="C216" s="4" t="s">
        <v>8</v>
      </c>
      <c r="D216" s="4" t="s">
        <v>11</v>
      </c>
      <c r="E216" s="4">
        <v>1450</v>
      </c>
      <c r="F216" s="4">
        <v>20</v>
      </c>
      <c r="G216" s="5">
        <f t="shared" si="3"/>
        <v>29000</v>
      </c>
    </row>
    <row r="217" spans="1:7" ht="15.6" x14ac:dyDescent="0.3">
      <c r="A217" s="6">
        <v>44691</v>
      </c>
      <c r="B217" s="7" t="s">
        <v>23</v>
      </c>
      <c r="C217" s="7" t="s">
        <v>16</v>
      </c>
      <c r="D217" s="7" t="s">
        <v>14</v>
      </c>
      <c r="E217" s="7">
        <v>1999</v>
      </c>
      <c r="F217" s="7">
        <v>23</v>
      </c>
      <c r="G217" s="8">
        <f t="shared" si="3"/>
        <v>45977</v>
      </c>
    </row>
    <row r="218" spans="1:7" ht="15.6" x14ac:dyDescent="0.3">
      <c r="A218" s="3">
        <v>44695</v>
      </c>
      <c r="B218" s="4" t="s">
        <v>7</v>
      </c>
      <c r="C218" s="4" t="s">
        <v>8</v>
      </c>
      <c r="D218" s="4" t="s">
        <v>18</v>
      </c>
      <c r="E218" s="4">
        <v>800</v>
      </c>
      <c r="F218" s="4">
        <v>43</v>
      </c>
      <c r="G218" s="5">
        <f t="shared" si="3"/>
        <v>34400</v>
      </c>
    </row>
    <row r="219" spans="1:7" ht="15.6" x14ac:dyDescent="0.3">
      <c r="A219" s="6">
        <v>44699</v>
      </c>
      <c r="B219" s="7" t="s">
        <v>12</v>
      </c>
      <c r="C219" s="7" t="s">
        <v>17</v>
      </c>
      <c r="D219" s="7" t="s">
        <v>21</v>
      </c>
      <c r="E219" s="7">
        <v>100</v>
      </c>
      <c r="F219" s="7">
        <v>41</v>
      </c>
      <c r="G219" s="8">
        <f t="shared" si="3"/>
        <v>4100</v>
      </c>
    </row>
    <row r="220" spans="1:7" ht="15.6" x14ac:dyDescent="0.3">
      <c r="A220" s="3">
        <v>44703</v>
      </c>
      <c r="B220" s="4" t="s">
        <v>7</v>
      </c>
      <c r="C220" s="4" t="s">
        <v>8</v>
      </c>
      <c r="D220" s="4" t="s">
        <v>14</v>
      </c>
      <c r="E220" s="4">
        <v>13999</v>
      </c>
      <c r="F220" s="4">
        <v>37</v>
      </c>
      <c r="G220" s="5">
        <f t="shared" si="3"/>
        <v>517963</v>
      </c>
    </row>
    <row r="221" spans="1:7" ht="15.6" x14ac:dyDescent="0.3">
      <c r="A221" s="6">
        <v>44707</v>
      </c>
      <c r="B221" s="7" t="s">
        <v>19</v>
      </c>
      <c r="C221" s="7" t="s">
        <v>20</v>
      </c>
      <c r="D221" s="7" t="s">
        <v>18</v>
      </c>
      <c r="E221" s="7">
        <v>22000</v>
      </c>
      <c r="F221" s="7">
        <v>45</v>
      </c>
      <c r="G221" s="8">
        <f t="shared" si="3"/>
        <v>990000</v>
      </c>
    </row>
    <row r="222" spans="1:7" ht="15.6" x14ac:dyDescent="0.3">
      <c r="A222" s="3">
        <v>44711</v>
      </c>
      <c r="B222" s="4" t="s">
        <v>19</v>
      </c>
      <c r="C222" s="4" t="s">
        <v>20</v>
      </c>
      <c r="D222" s="4" t="s">
        <v>24</v>
      </c>
      <c r="E222" s="4">
        <v>89999</v>
      </c>
      <c r="F222" s="4">
        <v>15</v>
      </c>
      <c r="G222" s="5">
        <f t="shared" si="3"/>
        <v>1349985</v>
      </c>
    </row>
    <row r="223" spans="1:7" ht="15.6" x14ac:dyDescent="0.3">
      <c r="A223" s="6">
        <v>44715</v>
      </c>
      <c r="B223" s="7" t="s">
        <v>10</v>
      </c>
      <c r="C223" s="7" t="s">
        <v>16</v>
      </c>
      <c r="D223" s="7" t="s">
        <v>18</v>
      </c>
      <c r="E223" s="7">
        <v>13999</v>
      </c>
      <c r="F223" s="7">
        <v>22</v>
      </c>
      <c r="G223" s="8">
        <f t="shared" si="3"/>
        <v>307978</v>
      </c>
    </row>
    <row r="224" spans="1:7" ht="15.6" x14ac:dyDescent="0.3">
      <c r="A224" s="3">
        <v>44719</v>
      </c>
      <c r="B224" s="4" t="s">
        <v>12</v>
      </c>
      <c r="C224" s="4" t="s">
        <v>22</v>
      </c>
      <c r="D224" s="4" t="s">
        <v>14</v>
      </c>
      <c r="E224" s="4">
        <v>2900</v>
      </c>
      <c r="F224" s="4">
        <v>20</v>
      </c>
      <c r="G224" s="5">
        <f t="shared" si="3"/>
        <v>58000</v>
      </c>
    </row>
    <row r="225" spans="1:7" ht="15.6" x14ac:dyDescent="0.3">
      <c r="A225" s="6">
        <v>44723</v>
      </c>
      <c r="B225" s="7" t="s">
        <v>10</v>
      </c>
      <c r="C225" s="7" t="s">
        <v>20</v>
      </c>
      <c r="D225" s="7" t="s">
        <v>18</v>
      </c>
      <c r="E225" s="7">
        <v>33000</v>
      </c>
      <c r="F225" s="7">
        <v>16</v>
      </c>
      <c r="G225" s="8">
        <f t="shared" si="3"/>
        <v>528000</v>
      </c>
    </row>
    <row r="226" spans="1:7" ht="15.6" x14ac:dyDescent="0.3">
      <c r="A226" s="3">
        <v>44727</v>
      </c>
      <c r="B226" s="4" t="s">
        <v>19</v>
      </c>
      <c r="C226" s="4" t="s">
        <v>16</v>
      </c>
      <c r="D226" s="4" t="s">
        <v>11</v>
      </c>
      <c r="E226" s="4">
        <v>22000</v>
      </c>
      <c r="F226" s="4">
        <v>17</v>
      </c>
      <c r="G226" s="5">
        <f t="shared" si="3"/>
        <v>374000</v>
      </c>
    </row>
    <row r="227" spans="1:7" ht="15.6" x14ac:dyDescent="0.3">
      <c r="A227" s="6">
        <v>44731</v>
      </c>
      <c r="B227" s="7" t="s">
        <v>23</v>
      </c>
      <c r="C227" s="7" t="s">
        <v>22</v>
      </c>
      <c r="D227" s="7" t="s">
        <v>11</v>
      </c>
      <c r="E227" s="7">
        <v>699</v>
      </c>
      <c r="F227" s="7">
        <v>50</v>
      </c>
      <c r="G227" s="8">
        <f t="shared" si="3"/>
        <v>34950</v>
      </c>
    </row>
    <row r="228" spans="1:7" ht="15.6" x14ac:dyDescent="0.3">
      <c r="A228" s="3">
        <v>44735</v>
      </c>
      <c r="B228" s="4" t="s">
        <v>12</v>
      </c>
      <c r="C228" s="4" t="s">
        <v>20</v>
      </c>
      <c r="D228" s="4" t="s">
        <v>14</v>
      </c>
      <c r="E228" s="4">
        <v>499</v>
      </c>
      <c r="F228" s="4">
        <v>4</v>
      </c>
      <c r="G228" s="5">
        <f t="shared" si="3"/>
        <v>1996</v>
      </c>
    </row>
    <row r="229" spans="1:7" ht="15.6" x14ac:dyDescent="0.3">
      <c r="A229" s="6">
        <v>44739</v>
      </c>
      <c r="B229" s="7" t="s">
        <v>23</v>
      </c>
      <c r="C229" s="7" t="s">
        <v>22</v>
      </c>
      <c r="D229" s="7" t="s">
        <v>18</v>
      </c>
      <c r="E229" s="7">
        <v>590</v>
      </c>
      <c r="F229" s="7">
        <v>43</v>
      </c>
      <c r="G229" s="8">
        <f t="shared" si="3"/>
        <v>25370</v>
      </c>
    </row>
    <row r="230" spans="1:7" ht="15.6" x14ac:dyDescent="0.3">
      <c r="A230" s="3">
        <v>44743</v>
      </c>
      <c r="B230" s="4" t="s">
        <v>23</v>
      </c>
      <c r="C230" s="4" t="s">
        <v>22</v>
      </c>
      <c r="D230" s="4" t="s">
        <v>11</v>
      </c>
      <c r="E230" s="4">
        <v>590</v>
      </c>
      <c r="F230" s="4">
        <v>42</v>
      </c>
      <c r="G230" s="5">
        <f t="shared" si="3"/>
        <v>24780</v>
      </c>
    </row>
    <row r="231" spans="1:7" ht="15.6" x14ac:dyDescent="0.3">
      <c r="A231" s="6">
        <v>44747</v>
      </c>
      <c r="B231" s="7" t="s">
        <v>15</v>
      </c>
      <c r="C231" s="7" t="s">
        <v>17</v>
      </c>
      <c r="D231" s="7" t="s">
        <v>9</v>
      </c>
      <c r="E231" s="7">
        <v>120</v>
      </c>
      <c r="F231" s="7">
        <v>9</v>
      </c>
      <c r="G231" s="8">
        <f t="shared" si="3"/>
        <v>1080</v>
      </c>
    </row>
    <row r="232" spans="1:7" ht="15.6" x14ac:dyDescent="0.3">
      <c r="A232" s="3">
        <v>44751</v>
      </c>
      <c r="B232" s="4" t="s">
        <v>12</v>
      </c>
      <c r="C232" s="4" t="s">
        <v>20</v>
      </c>
      <c r="D232" s="4" t="s">
        <v>24</v>
      </c>
      <c r="E232" s="4">
        <v>52000</v>
      </c>
      <c r="F232" s="4">
        <v>40</v>
      </c>
      <c r="G232" s="5">
        <f t="shared" si="3"/>
        <v>2080000</v>
      </c>
    </row>
    <row r="233" spans="1:7" ht="15.6" x14ac:dyDescent="0.3">
      <c r="A233" s="6">
        <v>44755</v>
      </c>
      <c r="B233" s="7" t="s">
        <v>19</v>
      </c>
      <c r="C233" s="7" t="s">
        <v>16</v>
      </c>
      <c r="D233" s="7" t="s">
        <v>18</v>
      </c>
      <c r="E233" s="7">
        <v>7999</v>
      </c>
      <c r="F233" s="7">
        <v>14</v>
      </c>
      <c r="G233" s="8">
        <f t="shared" si="3"/>
        <v>111986</v>
      </c>
    </row>
    <row r="234" spans="1:7" ht="15.6" x14ac:dyDescent="0.3">
      <c r="A234" s="3">
        <v>44759</v>
      </c>
      <c r="B234" s="4" t="s">
        <v>12</v>
      </c>
      <c r="C234" s="4" t="s">
        <v>13</v>
      </c>
      <c r="D234" s="4" t="s">
        <v>21</v>
      </c>
      <c r="E234" s="4">
        <v>550</v>
      </c>
      <c r="F234" s="4">
        <v>9</v>
      </c>
      <c r="G234" s="5">
        <f t="shared" si="3"/>
        <v>4950</v>
      </c>
    </row>
    <row r="235" spans="1:7" ht="15.6" x14ac:dyDescent="0.3">
      <c r="A235" s="6">
        <v>44763</v>
      </c>
      <c r="B235" s="7" t="s">
        <v>19</v>
      </c>
      <c r="C235" s="7" t="s">
        <v>20</v>
      </c>
      <c r="D235" s="7" t="s">
        <v>18</v>
      </c>
      <c r="E235" s="7">
        <v>79999</v>
      </c>
      <c r="F235" s="7">
        <v>10</v>
      </c>
      <c r="G235" s="8">
        <f t="shared" si="3"/>
        <v>799990</v>
      </c>
    </row>
    <row r="236" spans="1:7" ht="15.6" x14ac:dyDescent="0.3">
      <c r="A236" s="3">
        <v>44767</v>
      </c>
      <c r="B236" s="4" t="s">
        <v>10</v>
      </c>
      <c r="C236" s="4" t="s">
        <v>16</v>
      </c>
      <c r="D236" s="4" t="s">
        <v>11</v>
      </c>
      <c r="E236" s="4">
        <v>1999</v>
      </c>
      <c r="F236" s="4">
        <v>37</v>
      </c>
      <c r="G236" s="5">
        <f t="shared" si="3"/>
        <v>73963</v>
      </c>
    </row>
    <row r="237" spans="1:7" ht="15.6" x14ac:dyDescent="0.3">
      <c r="A237" s="6">
        <v>44771</v>
      </c>
      <c r="B237" s="7" t="s">
        <v>12</v>
      </c>
      <c r="C237" s="7" t="s">
        <v>20</v>
      </c>
      <c r="D237" s="7" t="s">
        <v>18</v>
      </c>
      <c r="E237" s="7">
        <v>89999</v>
      </c>
      <c r="F237" s="7">
        <v>29</v>
      </c>
      <c r="G237" s="8">
        <f t="shared" si="3"/>
        <v>2609971</v>
      </c>
    </row>
    <row r="238" spans="1:7" ht="15.6" x14ac:dyDescent="0.3">
      <c r="A238" s="3">
        <v>44775</v>
      </c>
      <c r="B238" s="4" t="s">
        <v>19</v>
      </c>
      <c r="C238" s="4" t="s">
        <v>20</v>
      </c>
      <c r="D238" s="4" t="s">
        <v>9</v>
      </c>
      <c r="E238" s="4">
        <v>799</v>
      </c>
      <c r="F238" s="4">
        <v>44</v>
      </c>
      <c r="G238" s="5">
        <f t="shared" si="3"/>
        <v>35156</v>
      </c>
    </row>
    <row r="239" spans="1:7" ht="15.6" x14ac:dyDescent="0.3">
      <c r="A239" s="6">
        <v>44779</v>
      </c>
      <c r="B239" s="7" t="s">
        <v>19</v>
      </c>
      <c r="C239" s="7" t="s">
        <v>20</v>
      </c>
      <c r="D239" s="7" t="s">
        <v>24</v>
      </c>
      <c r="E239" s="7">
        <v>3990</v>
      </c>
      <c r="F239" s="7">
        <v>31</v>
      </c>
      <c r="G239" s="8">
        <f t="shared" si="3"/>
        <v>123690</v>
      </c>
    </row>
    <row r="240" spans="1:7" ht="15.6" x14ac:dyDescent="0.3">
      <c r="A240" s="3">
        <v>44783</v>
      </c>
      <c r="B240" s="4" t="s">
        <v>12</v>
      </c>
      <c r="C240" s="4" t="s">
        <v>16</v>
      </c>
      <c r="D240" s="4" t="s">
        <v>14</v>
      </c>
      <c r="E240" s="4">
        <v>52000</v>
      </c>
      <c r="F240" s="4">
        <v>29</v>
      </c>
      <c r="G240" s="5">
        <f t="shared" si="3"/>
        <v>1508000</v>
      </c>
    </row>
    <row r="241" spans="1:7" ht="15.6" x14ac:dyDescent="0.3">
      <c r="A241" s="6">
        <v>44787</v>
      </c>
      <c r="B241" s="7" t="s">
        <v>7</v>
      </c>
      <c r="C241" s="7" t="s">
        <v>8</v>
      </c>
      <c r="D241" s="7" t="s">
        <v>18</v>
      </c>
      <c r="E241" s="7">
        <v>13999</v>
      </c>
      <c r="F241" s="7">
        <v>34</v>
      </c>
      <c r="G241" s="8">
        <f t="shared" si="3"/>
        <v>475966</v>
      </c>
    </row>
    <row r="242" spans="1:7" ht="15.6" x14ac:dyDescent="0.3">
      <c r="A242" s="3">
        <v>44791</v>
      </c>
      <c r="B242" s="4" t="s">
        <v>12</v>
      </c>
      <c r="C242" s="4" t="s">
        <v>17</v>
      </c>
      <c r="D242" s="4" t="s">
        <v>14</v>
      </c>
      <c r="E242" s="4">
        <v>120</v>
      </c>
      <c r="F242" s="4">
        <v>29</v>
      </c>
      <c r="G242" s="5">
        <f t="shared" si="3"/>
        <v>3480</v>
      </c>
    </row>
    <row r="243" spans="1:7" ht="15.6" x14ac:dyDescent="0.3">
      <c r="A243" s="6">
        <v>44795</v>
      </c>
      <c r="B243" s="7" t="s">
        <v>19</v>
      </c>
      <c r="C243" s="7" t="s">
        <v>13</v>
      </c>
      <c r="D243" s="7" t="s">
        <v>9</v>
      </c>
      <c r="E243" s="7">
        <v>23999</v>
      </c>
      <c r="F243" s="7">
        <v>25</v>
      </c>
      <c r="G243" s="8">
        <f t="shared" si="3"/>
        <v>599975</v>
      </c>
    </row>
    <row r="244" spans="1:7" ht="15.6" x14ac:dyDescent="0.3">
      <c r="A244" s="3">
        <v>44799</v>
      </c>
      <c r="B244" s="4" t="s">
        <v>12</v>
      </c>
      <c r="C244" s="4" t="s">
        <v>13</v>
      </c>
      <c r="D244" s="4" t="s">
        <v>18</v>
      </c>
      <c r="E244" s="4">
        <v>1250</v>
      </c>
      <c r="F244" s="4">
        <v>31</v>
      </c>
      <c r="G244" s="5">
        <f t="shared" si="3"/>
        <v>38750</v>
      </c>
    </row>
    <row r="245" spans="1:7" ht="15.6" x14ac:dyDescent="0.3">
      <c r="A245" s="6">
        <v>44803</v>
      </c>
      <c r="B245" s="7" t="s">
        <v>23</v>
      </c>
      <c r="C245" s="7" t="s">
        <v>16</v>
      </c>
      <c r="D245" s="7" t="s">
        <v>18</v>
      </c>
      <c r="E245" s="7">
        <v>45000</v>
      </c>
      <c r="F245" s="7">
        <v>16</v>
      </c>
      <c r="G245" s="8">
        <f t="shared" si="3"/>
        <v>720000</v>
      </c>
    </row>
    <row r="246" spans="1:7" ht="15.6" x14ac:dyDescent="0.3">
      <c r="A246" s="3">
        <v>44807</v>
      </c>
      <c r="B246" s="4" t="s">
        <v>10</v>
      </c>
      <c r="C246" s="4" t="s">
        <v>17</v>
      </c>
      <c r="D246" s="4" t="s">
        <v>14</v>
      </c>
      <c r="E246" s="4">
        <v>120</v>
      </c>
      <c r="F246" s="4">
        <v>48</v>
      </c>
      <c r="G246" s="5">
        <f t="shared" si="3"/>
        <v>5760</v>
      </c>
    </row>
    <row r="247" spans="1:7" ht="15.6" x14ac:dyDescent="0.3">
      <c r="A247" s="6">
        <v>44811</v>
      </c>
      <c r="B247" s="7" t="s">
        <v>12</v>
      </c>
      <c r="C247" s="7" t="s">
        <v>16</v>
      </c>
      <c r="D247" s="7" t="s">
        <v>21</v>
      </c>
      <c r="E247" s="7">
        <v>25600</v>
      </c>
      <c r="F247" s="7">
        <v>22</v>
      </c>
      <c r="G247" s="8">
        <f t="shared" si="3"/>
        <v>563200</v>
      </c>
    </row>
    <row r="248" spans="1:7" ht="15.6" x14ac:dyDescent="0.3">
      <c r="A248" s="3">
        <v>44815</v>
      </c>
      <c r="B248" s="4" t="s">
        <v>23</v>
      </c>
      <c r="C248" s="4" t="s">
        <v>22</v>
      </c>
      <c r="D248" s="4" t="s">
        <v>18</v>
      </c>
      <c r="E248" s="4">
        <v>699</v>
      </c>
      <c r="F248" s="4">
        <v>6</v>
      </c>
      <c r="G248" s="5">
        <f t="shared" si="3"/>
        <v>4194</v>
      </c>
    </row>
    <row r="249" spans="1:7" ht="15.6" x14ac:dyDescent="0.3">
      <c r="A249" s="6">
        <v>44819</v>
      </c>
      <c r="B249" s="7" t="s">
        <v>23</v>
      </c>
      <c r="C249" s="7" t="s">
        <v>16</v>
      </c>
      <c r="D249" s="7" t="s">
        <v>14</v>
      </c>
      <c r="E249" s="7">
        <v>99620</v>
      </c>
      <c r="F249" s="7">
        <v>12</v>
      </c>
      <c r="G249" s="8">
        <f t="shared" si="3"/>
        <v>1195440</v>
      </c>
    </row>
    <row r="250" spans="1:7" ht="15.6" x14ac:dyDescent="0.3">
      <c r="A250" s="3">
        <v>44823</v>
      </c>
      <c r="B250" s="4" t="s">
        <v>12</v>
      </c>
      <c r="C250" s="4" t="s">
        <v>22</v>
      </c>
      <c r="D250" s="4" t="s">
        <v>24</v>
      </c>
      <c r="E250" s="4">
        <v>450</v>
      </c>
      <c r="F250" s="4">
        <v>44</v>
      </c>
      <c r="G250" s="5">
        <f t="shared" si="3"/>
        <v>19800</v>
      </c>
    </row>
    <row r="251" spans="1:7" ht="15.6" x14ac:dyDescent="0.3">
      <c r="A251" s="6">
        <v>44827</v>
      </c>
      <c r="B251" s="7" t="s">
        <v>23</v>
      </c>
      <c r="C251" s="7" t="s">
        <v>22</v>
      </c>
      <c r="D251" s="7" t="s">
        <v>14</v>
      </c>
      <c r="E251" s="7">
        <v>1499</v>
      </c>
      <c r="F251" s="7">
        <v>15</v>
      </c>
      <c r="G251" s="8">
        <f t="shared" si="3"/>
        <v>22485</v>
      </c>
    </row>
    <row r="252" spans="1:7" ht="15.6" x14ac:dyDescent="0.3">
      <c r="A252" s="3">
        <v>44831</v>
      </c>
      <c r="B252" s="4" t="s">
        <v>7</v>
      </c>
      <c r="C252" s="4" t="s">
        <v>16</v>
      </c>
      <c r="D252" s="4" t="s">
        <v>21</v>
      </c>
      <c r="E252" s="4">
        <v>49500</v>
      </c>
      <c r="F252" s="4">
        <v>26</v>
      </c>
      <c r="G252" s="5">
        <f t="shared" si="3"/>
        <v>1287000</v>
      </c>
    </row>
    <row r="253" spans="1:7" ht="15.6" x14ac:dyDescent="0.3">
      <c r="A253" s="6">
        <v>44835</v>
      </c>
      <c r="B253" s="7" t="s">
        <v>10</v>
      </c>
      <c r="C253" s="7" t="s">
        <v>13</v>
      </c>
      <c r="D253" s="7" t="s">
        <v>21</v>
      </c>
      <c r="E253" s="7">
        <v>960</v>
      </c>
      <c r="F253" s="7">
        <v>16</v>
      </c>
      <c r="G253" s="8">
        <f t="shared" si="3"/>
        <v>15360</v>
      </c>
    </row>
    <row r="254" spans="1:7" ht="15.6" x14ac:dyDescent="0.3">
      <c r="A254" s="3">
        <v>44839</v>
      </c>
      <c r="B254" s="4" t="s">
        <v>12</v>
      </c>
      <c r="C254" s="4" t="s">
        <v>8</v>
      </c>
      <c r="D254" s="4" t="s">
        <v>18</v>
      </c>
      <c r="E254" s="4">
        <v>5599</v>
      </c>
      <c r="F254" s="4">
        <v>35</v>
      </c>
      <c r="G254" s="5">
        <f t="shared" si="3"/>
        <v>195965</v>
      </c>
    </row>
    <row r="255" spans="1:7" ht="15.6" x14ac:dyDescent="0.3">
      <c r="A255" s="6">
        <v>44843</v>
      </c>
      <c r="B255" s="7" t="s">
        <v>15</v>
      </c>
      <c r="C255" s="7" t="s">
        <v>17</v>
      </c>
      <c r="D255" s="7" t="s">
        <v>9</v>
      </c>
      <c r="E255" s="7">
        <v>89</v>
      </c>
      <c r="F255" s="7">
        <v>36</v>
      </c>
      <c r="G255" s="8">
        <f t="shared" si="3"/>
        <v>3204</v>
      </c>
    </row>
    <row r="256" spans="1:7" ht="15.6" x14ac:dyDescent="0.3">
      <c r="A256" s="3">
        <v>44847</v>
      </c>
      <c r="B256" s="4" t="s">
        <v>7</v>
      </c>
      <c r="C256" s="4" t="s">
        <v>8</v>
      </c>
      <c r="D256" s="4" t="s">
        <v>24</v>
      </c>
      <c r="E256" s="4">
        <v>2550</v>
      </c>
      <c r="F256" s="4">
        <v>20</v>
      </c>
      <c r="G256" s="5">
        <f t="shared" si="3"/>
        <v>51000</v>
      </c>
    </row>
    <row r="257" spans="1:7" ht="15.6" x14ac:dyDescent="0.3">
      <c r="A257" s="6">
        <v>44851</v>
      </c>
      <c r="B257" s="7" t="s">
        <v>12</v>
      </c>
      <c r="C257" s="7" t="s">
        <v>16</v>
      </c>
      <c r="D257" s="7" t="s">
        <v>9</v>
      </c>
      <c r="E257" s="7">
        <v>14500</v>
      </c>
      <c r="F257" s="7">
        <v>47</v>
      </c>
      <c r="G257" s="8">
        <f t="shared" si="3"/>
        <v>681500</v>
      </c>
    </row>
    <row r="258" spans="1:7" ht="15.6" x14ac:dyDescent="0.3">
      <c r="A258" s="3">
        <v>44855</v>
      </c>
      <c r="B258" s="4" t="s">
        <v>23</v>
      </c>
      <c r="C258" s="4" t="s">
        <v>22</v>
      </c>
      <c r="D258" s="4" t="s">
        <v>18</v>
      </c>
      <c r="E258" s="4">
        <v>2900</v>
      </c>
      <c r="F258" s="4">
        <v>6</v>
      </c>
      <c r="G258" s="5">
        <f t="shared" si="3"/>
        <v>17400</v>
      </c>
    </row>
    <row r="259" spans="1:7" ht="15.6" x14ac:dyDescent="0.3">
      <c r="A259" s="6">
        <v>44859</v>
      </c>
      <c r="B259" s="7" t="s">
        <v>15</v>
      </c>
      <c r="C259" s="7" t="s">
        <v>17</v>
      </c>
      <c r="D259" s="7" t="s">
        <v>21</v>
      </c>
      <c r="E259" s="7">
        <v>120</v>
      </c>
      <c r="F259" s="7">
        <v>6</v>
      </c>
      <c r="G259" s="8">
        <f t="shared" ref="G259:G279" si="4">E259*F259</f>
        <v>720</v>
      </c>
    </row>
    <row r="260" spans="1:7" ht="15.6" x14ac:dyDescent="0.3">
      <c r="A260" s="3">
        <v>44863</v>
      </c>
      <c r="B260" s="4" t="s">
        <v>19</v>
      </c>
      <c r="C260" s="4" t="s">
        <v>16</v>
      </c>
      <c r="D260" s="4" t="s">
        <v>14</v>
      </c>
      <c r="E260" s="4">
        <v>52000</v>
      </c>
      <c r="F260" s="4">
        <v>41</v>
      </c>
      <c r="G260" s="5">
        <f t="shared" si="4"/>
        <v>2132000</v>
      </c>
    </row>
    <row r="261" spans="1:7" ht="15.6" x14ac:dyDescent="0.3">
      <c r="A261" s="6">
        <v>44867</v>
      </c>
      <c r="B261" s="7" t="s">
        <v>10</v>
      </c>
      <c r="C261" s="7" t="s">
        <v>22</v>
      </c>
      <c r="D261" s="7" t="s">
        <v>11</v>
      </c>
      <c r="E261" s="7">
        <v>590</v>
      </c>
      <c r="F261" s="7">
        <v>29</v>
      </c>
      <c r="G261" s="8">
        <f t="shared" si="4"/>
        <v>17110</v>
      </c>
    </row>
    <row r="262" spans="1:7" ht="15.6" x14ac:dyDescent="0.3">
      <c r="A262" s="3">
        <v>44871</v>
      </c>
      <c r="B262" s="4" t="s">
        <v>19</v>
      </c>
      <c r="C262" s="4" t="s">
        <v>13</v>
      </c>
      <c r="D262" s="4" t="s">
        <v>21</v>
      </c>
      <c r="E262" s="4">
        <v>7999</v>
      </c>
      <c r="F262" s="4">
        <v>31</v>
      </c>
      <c r="G262" s="5">
        <f t="shared" si="4"/>
        <v>247969</v>
      </c>
    </row>
    <row r="263" spans="1:7" ht="15.6" x14ac:dyDescent="0.3">
      <c r="A263" s="6">
        <v>44875</v>
      </c>
      <c r="B263" s="7" t="s">
        <v>12</v>
      </c>
      <c r="C263" s="7" t="s">
        <v>17</v>
      </c>
      <c r="D263" s="7" t="s">
        <v>11</v>
      </c>
      <c r="E263" s="7">
        <v>999</v>
      </c>
      <c r="F263" s="7">
        <v>34</v>
      </c>
      <c r="G263" s="8">
        <f t="shared" si="4"/>
        <v>33966</v>
      </c>
    </row>
    <row r="264" spans="1:7" ht="15.6" x14ac:dyDescent="0.3">
      <c r="A264" s="3">
        <v>44879</v>
      </c>
      <c r="B264" s="4" t="s">
        <v>23</v>
      </c>
      <c r="C264" s="4" t="s">
        <v>16</v>
      </c>
      <c r="D264" s="4" t="s">
        <v>14</v>
      </c>
      <c r="E264" s="4">
        <v>990</v>
      </c>
      <c r="F264" s="4">
        <v>43</v>
      </c>
      <c r="G264" s="5">
        <f t="shared" si="4"/>
        <v>42570</v>
      </c>
    </row>
    <row r="265" spans="1:7" ht="15.6" x14ac:dyDescent="0.3">
      <c r="A265" s="6">
        <v>44883</v>
      </c>
      <c r="B265" s="7" t="s">
        <v>12</v>
      </c>
      <c r="C265" s="7" t="s">
        <v>20</v>
      </c>
      <c r="D265" s="7" t="s">
        <v>9</v>
      </c>
      <c r="E265" s="7">
        <v>11999</v>
      </c>
      <c r="F265" s="7">
        <v>37</v>
      </c>
      <c r="G265" s="8">
        <f t="shared" si="4"/>
        <v>443963</v>
      </c>
    </row>
    <row r="266" spans="1:7" ht="15.6" x14ac:dyDescent="0.3">
      <c r="A266" s="3">
        <v>44887</v>
      </c>
      <c r="B266" s="4" t="s">
        <v>10</v>
      </c>
      <c r="C266" s="4" t="s">
        <v>13</v>
      </c>
      <c r="D266" s="4" t="s">
        <v>9</v>
      </c>
      <c r="E266" s="4">
        <v>960</v>
      </c>
      <c r="F266" s="4">
        <v>7</v>
      </c>
      <c r="G266" s="5">
        <f t="shared" si="4"/>
        <v>6720</v>
      </c>
    </row>
    <row r="267" spans="1:7" ht="15.6" x14ac:dyDescent="0.3">
      <c r="A267" s="6">
        <v>44891</v>
      </c>
      <c r="B267" s="7" t="s">
        <v>7</v>
      </c>
      <c r="C267" s="7" t="s">
        <v>8</v>
      </c>
      <c r="D267" s="7" t="s">
        <v>14</v>
      </c>
      <c r="E267" s="7">
        <v>1450</v>
      </c>
      <c r="F267" s="7">
        <v>19</v>
      </c>
      <c r="G267" s="8">
        <f t="shared" si="4"/>
        <v>27550</v>
      </c>
    </row>
    <row r="268" spans="1:7" ht="15.6" x14ac:dyDescent="0.3">
      <c r="A268" s="3">
        <v>44895</v>
      </c>
      <c r="B268" s="4" t="s">
        <v>23</v>
      </c>
      <c r="C268" s="4" t="s">
        <v>22</v>
      </c>
      <c r="D268" s="4" t="s">
        <v>11</v>
      </c>
      <c r="E268" s="4">
        <v>450</v>
      </c>
      <c r="F268" s="4">
        <v>47</v>
      </c>
      <c r="G268" s="5">
        <f t="shared" si="4"/>
        <v>21150</v>
      </c>
    </row>
    <row r="269" spans="1:7" ht="15.6" x14ac:dyDescent="0.3">
      <c r="A269" s="6">
        <v>44899</v>
      </c>
      <c r="B269" s="7" t="s">
        <v>12</v>
      </c>
      <c r="C269" s="7" t="s">
        <v>16</v>
      </c>
      <c r="D269" s="7" t="s">
        <v>11</v>
      </c>
      <c r="E269" s="7">
        <v>1499</v>
      </c>
      <c r="F269" s="7">
        <v>37</v>
      </c>
      <c r="G269" s="8">
        <f t="shared" si="4"/>
        <v>55463</v>
      </c>
    </row>
    <row r="270" spans="1:7" ht="15.6" x14ac:dyDescent="0.3">
      <c r="A270" s="3">
        <v>44903</v>
      </c>
      <c r="B270" s="4" t="s">
        <v>19</v>
      </c>
      <c r="C270" s="4" t="s">
        <v>20</v>
      </c>
      <c r="D270" s="4" t="s">
        <v>11</v>
      </c>
      <c r="E270" s="4">
        <v>79999</v>
      </c>
      <c r="F270" s="4">
        <v>4</v>
      </c>
      <c r="G270" s="5">
        <f t="shared" si="4"/>
        <v>319996</v>
      </c>
    </row>
    <row r="271" spans="1:7" ht="15.6" x14ac:dyDescent="0.3">
      <c r="A271" s="6">
        <v>44907</v>
      </c>
      <c r="B271" s="7" t="s">
        <v>12</v>
      </c>
      <c r="C271" s="7" t="s">
        <v>17</v>
      </c>
      <c r="D271" s="7" t="s">
        <v>21</v>
      </c>
      <c r="E271" s="7">
        <v>999</v>
      </c>
      <c r="F271" s="7">
        <v>45</v>
      </c>
      <c r="G271" s="8">
        <f t="shared" si="4"/>
        <v>44955</v>
      </c>
    </row>
    <row r="272" spans="1:7" ht="15.6" x14ac:dyDescent="0.3">
      <c r="A272" s="3">
        <v>44911</v>
      </c>
      <c r="B272" s="4" t="s">
        <v>19</v>
      </c>
      <c r="C272" s="4" t="s">
        <v>20</v>
      </c>
      <c r="D272" s="4" t="s">
        <v>9</v>
      </c>
      <c r="E272" s="4">
        <v>52000</v>
      </c>
      <c r="F272" s="4">
        <v>15</v>
      </c>
      <c r="G272" s="5">
        <f t="shared" si="4"/>
        <v>780000</v>
      </c>
    </row>
    <row r="273" spans="1:7" ht="15.6" x14ac:dyDescent="0.3">
      <c r="A273" s="6">
        <v>44915</v>
      </c>
      <c r="B273" s="7" t="s">
        <v>10</v>
      </c>
      <c r="C273" s="7" t="s">
        <v>20</v>
      </c>
      <c r="D273" s="7" t="s">
        <v>18</v>
      </c>
      <c r="E273" s="7">
        <v>52000</v>
      </c>
      <c r="F273" s="7">
        <v>39</v>
      </c>
      <c r="G273" s="8">
        <f t="shared" si="4"/>
        <v>2028000</v>
      </c>
    </row>
    <row r="274" spans="1:7" ht="15.6" x14ac:dyDescent="0.3">
      <c r="A274" s="3">
        <v>44919</v>
      </c>
      <c r="B274" s="4" t="s">
        <v>12</v>
      </c>
      <c r="C274" s="4" t="s">
        <v>13</v>
      </c>
      <c r="D274" s="4" t="s">
        <v>18</v>
      </c>
      <c r="E274" s="4">
        <v>960</v>
      </c>
      <c r="F274" s="4">
        <v>33</v>
      </c>
      <c r="G274" s="5">
        <f t="shared" si="4"/>
        <v>31680</v>
      </c>
    </row>
    <row r="275" spans="1:7" ht="15.6" x14ac:dyDescent="0.3">
      <c r="A275" s="9">
        <v>44923</v>
      </c>
      <c r="B275" s="10" t="s">
        <v>19</v>
      </c>
      <c r="C275" s="10" t="s">
        <v>13</v>
      </c>
      <c r="D275" s="10" t="s">
        <v>14</v>
      </c>
      <c r="E275" s="10">
        <v>1450</v>
      </c>
      <c r="F275" s="10">
        <v>34</v>
      </c>
      <c r="G275" s="11">
        <f t="shared" si="4"/>
        <v>49300</v>
      </c>
    </row>
    <row r="276" spans="1:7" ht="15.6" x14ac:dyDescent="0.3">
      <c r="A276" s="3">
        <v>44913</v>
      </c>
      <c r="B276" s="4" t="s">
        <v>23</v>
      </c>
      <c r="C276" s="4" t="s">
        <v>22</v>
      </c>
      <c r="D276" s="4" t="s">
        <v>24</v>
      </c>
      <c r="E276" s="4">
        <v>2500</v>
      </c>
      <c r="F276" s="4">
        <v>100</v>
      </c>
      <c r="G276" s="5">
        <f t="shared" si="4"/>
        <v>250000</v>
      </c>
    </row>
    <row r="277" spans="1:7" ht="15.6" x14ac:dyDescent="0.3">
      <c r="A277" s="6">
        <v>44917</v>
      </c>
      <c r="B277" s="7" t="s">
        <v>10</v>
      </c>
      <c r="C277" s="7" t="s">
        <v>16</v>
      </c>
      <c r="D277" s="7" t="s">
        <v>24</v>
      </c>
      <c r="E277" s="7">
        <v>86540</v>
      </c>
      <c r="F277" s="7">
        <v>6</v>
      </c>
      <c r="G277" s="8">
        <f t="shared" si="4"/>
        <v>519240</v>
      </c>
    </row>
    <row r="278" spans="1:7" ht="15.6" x14ac:dyDescent="0.3">
      <c r="A278" s="3">
        <v>44922</v>
      </c>
      <c r="B278" s="4" t="s">
        <v>15</v>
      </c>
      <c r="C278" s="4" t="s">
        <v>17</v>
      </c>
      <c r="D278" s="4" t="s">
        <v>24</v>
      </c>
      <c r="E278" s="4">
        <v>550</v>
      </c>
      <c r="F278" s="4">
        <v>44</v>
      </c>
      <c r="G278" s="5">
        <f t="shared" si="4"/>
        <v>24200</v>
      </c>
    </row>
    <row r="279" spans="1:7" ht="15.6" x14ac:dyDescent="0.3">
      <c r="A279" s="6">
        <v>44925</v>
      </c>
      <c r="B279" s="7" t="s">
        <v>12</v>
      </c>
      <c r="C279" s="7" t="s">
        <v>20</v>
      </c>
      <c r="D279" s="7" t="s">
        <v>24</v>
      </c>
      <c r="E279" s="7">
        <v>65400</v>
      </c>
      <c r="F279" s="7">
        <v>19</v>
      </c>
      <c r="G279" s="8">
        <f t="shared" si="4"/>
        <v>1242600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12BA4-9A10-4F2D-A873-8172FE51F7E7}">
  <dimension ref="A1"/>
  <sheetViews>
    <sheetView tabSelected="1" zoomScaleNormal="100" workbookViewId="0">
      <selection activeCell="E14" sqref="E14"/>
    </sheetView>
  </sheetViews>
  <sheetFormatPr defaultRowHeight="14.4" x14ac:dyDescent="0.3"/>
  <cols>
    <col min="1" max="1" width="8.88671875"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9848-ED7F-431B-BE8E-709088F877A2}">
  <dimension ref="A1:G10"/>
  <sheetViews>
    <sheetView workbookViewId="0">
      <selection activeCell="A3" sqref="A3:G10"/>
    </sheetView>
  </sheetViews>
  <sheetFormatPr defaultRowHeight="14.4" x14ac:dyDescent="0.3"/>
  <cols>
    <col min="1" max="1" width="10.33203125" bestFit="1" customWidth="1"/>
    <col min="2" max="2" width="14.6640625" bestFit="1" customWidth="1"/>
    <col min="3" max="3" width="10.6640625" bestFit="1" customWidth="1"/>
    <col min="4" max="6" width="9" bestFit="1" customWidth="1"/>
    <col min="7" max="7" width="9.6640625" bestFit="1" customWidth="1"/>
  </cols>
  <sheetData>
    <row r="1" spans="1:7" x14ac:dyDescent="0.3">
      <c r="A1" s="16" t="s">
        <v>29</v>
      </c>
    </row>
    <row r="3" spans="1:7" x14ac:dyDescent="0.3">
      <c r="A3" t="s">
        <v>0</v>
      </c>
      <c r="B3" t="s">
        <v>1</v>
      </c>
      <c r="C3" t="s">
        <v>2</v>
      </c>
      <c r="D3" t="s">
        <v>3</v>
      </c>
      <c r="E3" t="s">
        <v>4</v>
      </c>
      <c r="F3" t="s">
        <v>5</v>
      </c>
      <c r="G3" t="s">
        <v>6</v>
      </c>
    </row>
    <row r="4" spans="1:7" x14ac:dyDescent="0.3">
      <c r="A4" s="15">
        <v>44679</v>
      </c>
      <c r="B4" t="s">
        <v>23</v>
      </c>
      <c r="C4" t="s">
        <v>22</v>
      </c>
      <c r="D4" t="s">
        <v>18</v>
      </c>
      <c r="E4">
        <v>1499</v>
      </c>
      <c r="F4">
        <v>16</v>
      </c>
      <c r="G4">
        <v>23984</v>
      </c>
    </row>
    <row r="5" spans="1:7" x14ac:dyDescent="0.3">
      <c r="A5" s="15">
        <v>44675</v>
      </c>
      <c r="B5" t="s">
        <v>19</v>
      </c>
      <c r="C5" t="s">
        <v>13</v>
      </c>
      <c r="D5" t="s">
        <v>9</v>
      </c>
      <c r="E5">
        <v>550</v>
      </c>
      <c r="F5">
        <v>25</v>
      </c>
      <c r="G5">
        <v>13750</v>
      </c>
    </row>
    <row r="6" spans="1:7" x14ac:dyDescent="0.3">
      <c r="A6" s="15">
        <v>44671</v>
      </c>
      <c r="B6" t="s">
        <v>12</v>
      </c>
      <c r="C6" t="s">
        <v>20</v>
      </c>
      <c r="D6" t="s">
        <v>14</v>
      </c>
      <c r="E6">
        <v>700</v>
      </c>
      <c r="F6">
        <v>38</v>
      </c>
      <c r="G6">
        <v>26600</v>
      </c>
    </row>
    <row r="7" spans="1:7" x14ac:dyDescent="0.3">
      <c r="A7" s="15">
        <v>44667</v>
      </c>
      <c r="B7" t="s">
        <v>19</v>
      </c>
      <c r="C7" t="s">
        <v>16</v>
      </c>
      <c r="D7" t="s">
        <v>18</v>
      </c>
      <c r="E7">
        <v>79999</v>
      </c>
      <c r="F7">
        <v>9</v>
      </c>
      <c r="G7">
        <v>719991</v>
      </c>
    </row>
    <row r="8" spans="1:7" x14ac:dyDescent="0.3">
      <c r="A8" s="15">
        <v>44663</v>
      </c>
      <c r="B8" t="s">
        <v>10</v>
      </c>
      <c r="C8" t="s">
        <v>17</v>
      </c>
      <c r="D8" t="s">
        <v>18</v>
      </c>
      <c r="E8">
        <v>100</v>
      </c>
      <c r="F8">
        <v>39</v>
      </c>
      <c r="G8">
        <v>3900</v>
      </c>
    </row>
    <row r="9" spans="1:7" x14ac:dyDescent="0.3">
      <c r="A9" s="15">
        <v>44659</v>
      </c>
      <c r="B9" t="s">
        <v>12</v>
      </c>
      <c r="C9" t="s">
        <v>8</v>
      </c>
      <c r="D9" t="s">
        <v>24</v>
      </c>
      <c r="E9">
        <v>5599</v>
      </c>
      <c r="F9">
        <v>36</v>
      </c>
      <c r="G9">
        <v>201564</v>
      </c>
    </row>
    <row r="10" spans="1:7" x14ac:dyDescent="0.3">
      <c r="A10" s="15">
        <v>44655</v>
      </c>
      <c r="B10" t="s">
        <v>7</v>
      </c>
      <c r="C10" t="s">
        <v>8</v>
      </c>
      <c r="D10" t="s">
        <v>14</v>
      </c>
      <c r="E10">
        <v>499</v>
      </c>
      <c r="F10">
        <v>29</v>
      </c>
      <c r="G10">
        <v>14471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7D85C-46F2-410A-BFC7-4BDB3B56D9B7}">
  <dimension ref="A1:G10"/>
  <sheetViews>
    <sheetView workbookViewId="0">
      <selection activeCell="A3" sqref="A3:G10"/>
    </sheetView>
  </sheetViews>
  <sheetFormatPr defaultRowHeight="14.4" x14ac:dyDescent="0.3"/>
  <cols>
    <col min="1" max="1" width="10.33203125" bestFit="1" customWidth="1"/>
    <col min="2" max="2" width="14.6640625" bestFit="1" customWidth="1"/>
    <col min="3" max="3" width="10.6640625" bestFit="1" customWidth="1"/>
    <col min="4" max="6" width="9" bestFit="1" customWidth="1"/>
    <col min="7" max="7" width="9.6640625" bestFit="1" customWidth="1"/>
  </cols>
  <sheetData>
    <row r="1" spans="1:7" x14ac:dyDescent="0.3">
      <c r="A1" s="16" t="s">
        <v>31</v>
      </c>
    </row>
    <row r="3" spans="1:7" x14ac:dyDescent="0.3">
      <c r="A3" t="s">
        <v>0</v>
      </c>
      <c r="B3" t="s">
        <v>1</v>
      </c>
      <c r="C3" t="s">
        <v>2</v>
      </c>
      <c r="D3" t="s">
        <v>3</v>
      </c>
      <c r="E3" t="s">
        <v>4</v>
      </c>
      <c r="F3" t="s">
        <v>5</v>
      </c>
      <c r="G3" t="s">
        <v>6</v>
      </c>
    </row>
    <row r="4" spans="1:7" x14ac:dyDescent="0.3">
      <c r="A4" s="15">
        <v>44679</v>
      </c>
      <c r="B4" t="s">
        <v>23</v>
      </c>
      <c r="C4" t="s">
        <v>22</v>
      </c>
      <c r="D4" t="s">
        <v>18</v>
      </c>
      <c r="E4">
        <v>1499</v>
      </c>
      <c r="F4">
        <v>16</v>
      </c>
      <c r="G4">
        <v>23984</v>
      </c>
    </row>
    <row r="5" spans="1:7" x14ac:dyDescent="0.3">
      <c r="A5" s="15">
        <v>44675</v>
      </c>
      <c r="B5" t="s">
        <v>19</v>
      </c>
      <c r="C5" t="s">
        <v>13</v>
      </c>
      <c r="D5" t="s">
        <v>9</v>
      </c>
      <c r="E5">
        <v>550</v>
      </c>
      <c r="F5">
        <v>25</v>
      </c>
      <c r="G5">
        <v>13750</v>
      </c>
    </row>
    <row r="6" spans="1:7" x14ac:dyDescent="0.3">
      <c r="A6" s="15">
        <v>44671</v>
      </c>
      <c r="B6" t="s">
        <v>12</v>
      </c>
      <c r="C6" t="s">
        <v>20</v>
      </c>
      <c r="D6" t="s">
        <v>14</v>
      </c>
      <c r="E6">
        <v>700</v>
      </c>
      <c r="F6">
        <v>38</v>
      </c>
      <c r="G6">
        <v>26600</v>
      </c>
    </row>
    <row r="7" spans="1:7" x14ac:dyDescent="0.3">
      <c r="A7" s="15">
        <v>44667</v>
      </c>
      <c r="B7" t="s">
        <v>19</v>
      </c>
      <c r="C7" t="s">
        <v>16</v>
      </c>
      <c r="D7" t="s">
        <v>18</v>
      </c>
      <c r="E7">
        <v>79999</v>
      </c>
      <c r="F7">
        <v>9</v>
      </c>
      <c r="G7">
        <v>719991</v>
      </c>
    </row>
    <row r="8" spans="1:7" x14ac:dyDescent="0.3">
      <c r="A8" s="15">
        <v>44663</v>
      </c>
      <c r="B8" t="s">
        <v>10</v>
      </c>
      <c r="C8" t="s">
        <v>17</v>
      </c>
      <c r="D8" t="s">
        <v>18</v>
      </c>
      <c r="E8">
        <v>100</v>
      </c>
      <c r="F8">
        <v>39</v>
      </c>
      <c r="G8">
        <v>3900</v>
      </c>
    </row>
    <row r="9" spans="1:7" x14ac:dyDescent="0.3">
      <c r="A9" s="15">
        <v>44659</v>
      </c>
      <c r="B9" t="s">
        <v>12</v>
      </c>
      <c r="C9" t="s">
        <v>8</v>
      </c>
      <c r="D9" t="s">
        <v>24</v>
      </c>
      <c r="E9">
        <v>5599</v>
      </c>
      <c r="F9">
        <v>36</v>
      </c>
      <c r="G9">
        <v>201564</v>
      </c>
    </row>
    <row r="10" spans="1:7" x14ac:dyDescent="0.3">
      <c r="A10" s="15">
        <v>44655</v>
      </c>
      <c r="B10" t="s">
        <v>7</v>
      </c>
      <c r="C10" t="s">
        <v>8</v>
      </c>
      <c r="D10" t="s">
        <v>14</v>
      </c>
      <c r="E10">
        <v>499</v>
      </c>
      <c r="F10">
        <v>29</v>
      </c>
      <c r="G10">
        <v>14471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72DD7-DBC0-49FD-B12B-E81A1ADC5EBA}">
  <dimension ref="A3:B72"/>
  <sheetViews>
    <sheetView topLeftCell="A53" workbookViewId="0">
      <selection activeCell="A72" sqref="A72"/>
    </sheetView>
  </sheetViews>
  <sheetFormatPr defaultRowHeight="14.4" x14ac:dyDescent="0.3"/>
  <cols>
    <col min="1" max="1" width="11.33203125" bestFit="1" customWidth="1"/>
    <col min="2" max="2" width="13.5546875" bestFit="1" customWidth="1"/>
    <col min="3" max="3" width="8.109375" bestFit="1" customWidth="1"/>
    <col min="4" max="4" width="10.5546875" bestFit="1" customWidth="1"/>
  </cols>
  <sheetData>
    <row r="3" spans="1:2" x14ac:dyDescent="0.3">
      <c r="A3" s="12" t="s">
        <v>25</v>
      </c>
      <c r="B3" t="s">
        <v>27</v>
      </c>
    </row>
    <row r="4" spans="1:2" x14ac:dyDescent="0.3">
      <c r="A4" s="13" t="s">
        <v>28</v>
      </c>
      <c r="B4" s="14">
        <v>26600</v>
      </c>
    </row>
    <row r="5" spans="1:2" x14ac:dyDescent="0.3">
      <c r="A5" s="13" t="s">
        <v>26</v>
      </c>
      <c r="B5" s="14">
        <v>26600</v>
      </c>
    </row>
    <row r="18" spans="1:2" x14ac:dyDescent="0.3">
      <c r="A18" s="12" t="s">
        <v>25</v>
      </c>
      <c r="B18" t="s">
        <v>27</v>
      </c>
    </row>
    <row r="19" spans="1:2" x14ac:dyDescent="0.3">
      <c r="A19" s="13" t="s">
        <v>28</v>
      </c>
      <c r="B19" s="14">
        <v>1004260</v>
      </c>
    </row>
    <row r="20" spans="1:2" x14ac:dyDescent="0.3">
      <c r="A20" s="13" t="s">
        <v>26</v>
      </c>
      <c r="B20" s="14">
        <v>1004260</v>
      </c>
    </row>
    <row r="34" spans="1:2" x14ac:dyDescent="0.3">
      <c r="A34" s="12" t="s">
        <v>25</v>
      </c>
      <c r="B34" t="s">
        <v>27</v>
      </c>
    </row>
    <row r="35" spans="1:2" x14ac:dyDescent="0.3">
      <c r="A35" s="13" t="s">
        <v>14</v>
      </c>
      <c r="B35" s="14">
        <v>41071</v>
      </c>
    </row>
    <row r="36" spans="1:2" x14ac:dyDescent="0.3">
      <c r="A36" s="13" t="s">
        <v>9</v>
      </c>
      <c r="B36" s="14">
        <v>13750</v>
      </c>
    </row>
    <row r="37" spans="1:2" x14ac:dyDescent="0.3">
      <c r="A37" s="13" t="s">
        <v>24</v>
      </c>
      <c r="B37" s="14">
        <v>201564</v>
      </c>
    </row>
    <row r="38" spans="1:2" x14ac:dyDescent="0.3">
      <c r="A38" s="13" t="s">
        <v>18</v>
      </c>
      <c r="B38" s="14">
        <v>747875</v>
      </c>
    </row>
    <row r="39" spans="1:2" x14ac:dyDescent="0.3">
      <c r="A39" s="13" t="s">
        <v>26</v>
      </c>
      <c r="B39" s="14">
        <v>1004260</v>
      </c>
    </row>
    <row r="45" spans="1:2" x14ac:dyDescent="0.3">
      <c r="A45" s="12" t="s">
        <v>25</v>
      </c>
      <c r="B45" t="s">
        <v>27</v>
      </c>
    </row>
    <row r="46" spans="1:2" x14ac:dyDescent="0.3">
      <c r="A46" s="13" t="s">
        <v>16</v>
      </c>
      <c r="B46" s="14">
        <v>719991</v>
      </c>
    </row>
    <row r="47" spans="1:2" x14ac:dyDescent="0.3">
      <c r="A47" s="13" t="s">
        <v>8</v>
      </c>
      <c r="B47" s="14">
        <v>216035</v>
      </c>
    </row>
    <row r="48" spans="1:2" x14ac:dyDescent="0.3">
      <c r="A48" s="13" t="s">
        <v>20</v>
      </c>
      <c r="B48" s="14">
        <v>26600</v>
      </c>
    </row>
    <row r="49" spans="1:2" x14ac:dyDescent="0.3">
      <c r="A49" s="13" t="s">
        <v>13</v>
      </c>
      <c r="B49" s="14">
        <v>13750</v>
      </c>
    </row>
    <row r="50" spans="1:2" x14ac:dyDescent="0.3">
      <c r="A50" s="13" t="s">
        <v>17</v>
      </c>
      <c r="B50" s="14">
        <v>3900</v>
      </c>
    </row>
    <row r="51" spans="1:2" x14ac:dyDescent="0.3">
      <c r="A51" s="13" t="s">
        <v>22</v>
      </c>
      <c r="B51" s="14">
        <v>23984</v>
      </c>
    </row>
    <row r="52" spans="1:2" x14ac:dyDescent="0.3">
      <c r="A52" s="13" t="s">
        <v>26</v>
      </c>
      <c r="B52" s="14">
        <v>1004260</v>
      </c>
    </row>
    <row r="66" spans="1:1" x14ac:dyDescent="0.3">
      <c r="A66" t="s">
        <v>27</v>
      </c>
    </row>
    <row r="67" spans="1:1" x14ac:dyDescent="0.3">
      <c r="A67" s="14">
        <v>1004260</v>
      </c>
    </row>
    <row r="71" spans="1:1" x14ac:dyDescent="0.3">
      <c r="A71" t="s">
        <v>30</v>
      </c>
    </row>
    <row r="72" spans="1:1" x14ac:dyDescent="0.3">
      <c r="A72" s="17">
        <v>192</v>
      </c>
    </row>
  </sheetData>
  <pageMargins left="0.7" right="0.7" top="0.75" bottom="0.75" header="0.3" footer="0.3"/>
  <drawing r:id="rId7"/>
  <extLs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6DF2B-35A6-4B96-9F9F-0C41EE817F06}">
  <dimension ref="A1"/>
  <sheetViews>
    <sheetView workbookViewId="0"/>
  </sheetViews>
  <sheetFormatPr defaultRowHeight="14.4" x14ac:dyDescent="0.3"/>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550FD-DFC3-49FF-AC18-468F67A3DAE5}">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Master Data</vt:lpstr>
      <vt:lpstr>Dashboard</vt:lpstr>
      <vt:lpstr>Detail1</vt:lpstr>
      <vt:lpstr>Detail2</vt:lpstr>
      <vt:lpstr>Pivot tables</vt:lpstr>
      <vt:lpstr>Sheet4</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durga prasad</dc:creator>
  <cp:lastModifiedBy>uday chaganti</cp:lastModifiedBy>
  <dcterms:created xsi:type="dcterms:W3CDTF">2025-01-28T12:35:12Z</dcterms:created>
  <dcterms:modified xsi:type="dcterms:W3CDTF">2026-06-08T07:47:48Z</dcterms:modified>
</cp:coreProperties>
</file>