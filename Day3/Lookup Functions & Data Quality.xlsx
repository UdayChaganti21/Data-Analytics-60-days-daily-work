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9699F20-0C56-4CEC-9E93-C2A6F7DA9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2" i="1"/>
  <c r="D31" i="1"/>
  <c r="D28" i="1"/>
  <c r="K25" i="1"/>
  <c r="K23" i="1"/>
  <c r="F20" i="1"/>
  <c r="D20" i="1"/>
  <c r="K8" i="1" a="1"/>
  <c r="K8" i="1"/>
  <c r="K6" i="1"/>
  <c r="E32" i="1"/>
  <c r="E33" i="1"/>
  <c r="E34" i="1"/>
  <c r="E31" i="1"/>
  <c r="F34" i="1"/>
  <c r="F32" i="1"/>
  <c r="F33" i="1"/>
  <c r="C33" i="1" s="1"/>
  <c r="F31" i="1"/>
  <c r="D33" i="1" l="1"/>
  <c r="C32" i="1"/>
  <c r="C34" i="1"/>
  <c r="C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<sst xmlns="http://schemas.openxmlformats.org/spreadsheetml/2006/main" count="147" uniqueCount="67">
  <si>
    <t>ProductID</t>
  </si>
  <si>
    <t>ProductName</t>
  </si>
  <si>
    <t>QuantityInStock</t>
  </si>
  <si>
    <t>ReorderPoint</t>
  </si>
  <si>
    <t>Supplier</t>
  </si>
  <si>
    <t>SupplierContact</t>
  </si>
  <si>
    <t>LeadTime</t>
  </si>
  <si>
    <t>StorageLocation</t>
  </si>
  <si>
    <t>UnitCost</t>
  </si>
  <si>
    <t>P98420</t>
  </si>
  <si>
    <t>P70372</t>
  </si>
  <si>
    <t>P54851</t>
  </si>
  <si>
    <t>P89338</t>
  </si>
  <si>
    <t>P76449</t>
  </si>
  <si>
    <t>P43919</t>
  </si>
  <si>
    <t>P49408</t>
  </si>
  <si>
    <t>P89124</t>
  </si>
  <si>
    <t>P47947</t>
  </si>
  <si>
    <t>P35719</t>
  </si>
  <si>
    <t>P26057</t>
  </si>
  <si>
    <t>P62279</t>
  </si>
  <si>
    <t>P77428</t>
  </si>
  <si>
    <t>P86485</t>
  </si>
  <si>
    <t>Monitor</t>
  </si>
  <si>
    <t>Laptop</t>
  </si>
  <si>
    <t>Tablet</t>
  </si>
  <si>
    <t>Printer</t>
  </si>
  <si>
    <t>Desk</t>
  </si>
  <si>
    <t>Phone</t>
  </si>
  <si>
    <t>Global Parts</t>
  </si>
  <si>
    <t>SupplyCo</t>
  </si>
  <si>
    <t>DirectGoods</t>
  </si>
  <si>
    <t>WarePlus</t>
  </si>
  <si>
    <t>global parts@example.com</t>
  </si>
  <si>
    <t>supplyco@example.com</t>
  </si>
  <si>
    <t>directgoods@example.com</t>
  </si>
  <si>
    <t>wareplus@example.com</t>
  </si>
  <si>
    <t>WH-5</t>
  </si>
  <si>
    <t>WH-4</t>
  </si>
  <si>
    <t>WH-2</t>
  </si>
  <si>
    <t>WH-3</t>
  </si>
  <si>
    <t>WH-1</t>
  </si>
  <si>
    <t xml:space="preserve">Product </t>
  </si>
  <si>
    <t>Mouse</t>
  </si>
  <si>
    <t>Headset</t>
  </si>
  <si>
    <t>Earphones</t>
  </si>
  <si>
    <t>Price</t>
  </si>
  <si>
    <t>Year</t>
  </si>
  <si>
    <t>Quantity</t>
  </si>
  <si>
    <t>ITEM</t>
  </si>
  <si>
    <t>Item</t>
  </si>
  <si>
    <t>IFERROR:</t>
  </si>
  <si>
    <t>Pencil</t>
  </si>
  <si>
    <t>PRICE</t>
  </si>
  <si>
    <t>YEAR</t>
  </si>
  <si>
    <t>Pen</t>
  </si>
  <si>
    <t>NAME</t>
  </si>
  <si>
    <t>UPPER</t>
  </si>
  <si>
    <t>LOWER</t>
  </si>
  <si>
    <t>PROPER</t>
  </si>
  <si>
    <t>TRIM</t>
  </si>
  <si>
    <t>lAXmaN</t>
  </si>
  <si>
    <t>uday KUMar</t>
  </si>
  <si>
    <t>sHIva    KEsaGAnI</t>
  </si>
  <si>
    <t>shiva    praNAV</t>
  </si>
  <si>
    <t>REMOVING DUPLICATES  FROM TABLE</t>
  </si>
  <si>
    <t>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</si>
</sst>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zoomScale="72" workbookViewId="0">
      <selection activeCell="B6" sqref="B6"/>
    </sheetView>
  </sheetViews>
  <sheetFormatPr defaultRowHeight="14.4" x14ac:dyDescent="0.3"/>
  <cols>
    <col min="1" max="1" width="15.33203125" customWidth="1"/>
    <col min="2" max="2" width="20.21875" customWidth="1"/>
    <col min="3" max="3" width="19.21875" customWidth="1"/>
    <col min="4" max="4" width="15.33203125" customWidth="1"/>
    <col min="5" max="5" width="15.77734375" customWidth="1"/>
    <col min="6" max="6" width="25.21875" customWidth="1"/>
    <col min="7" max="7" width="9.88671875" customWidth="1"/>
    <col min="8" max="8" width="16" customWidth="1"/>
    <col min="9" max="9" width="11.21875" customWidth="1"/>
    <col min="11" max="11" width="16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51</v>
      </c>
    </row>
    <row r="2" spans="1:11" x14ac:dyDescent="0.3">
      <c r="A2" s="2" t="s">
        <v>9</v>
      </c>
      <c r="B2" s="2" t="s">
        <v>23</v>
      </c>
      <c r="C2" s="2">
        <v>97</v>
      </c>
      <c r="D2" s="2">
        <v>81</v>
      </c>
      <c r="E2" s="2" t="s">
        <v>29</v>
      </c>
      <c r="F2" s="2" t="s">
        <v>33</v>
      </c>
      <c r="G2" s="2">
        <v>17</v>
      </c>
      <c r="H2" s="2" t="s">
        <v>37</v>
      </c>
      <c r="I2" s="2">
        <v>174.13</v>
      </c>
    </row>
    <row r="3" spans="1:11" x14ac:dyDescent="0.3">
      <c r="A3" s="2" t="s">
        <v>10</v>
      </c>
      <c r="B3" s="2" t="s">
        <v>23</v>
      </c>
      <c r="C3" s="2">
        <v>229</v>
      </c>
      <c r="D3" s="2">
        <v>32</v>
      </c>
      <c r="E3" s="2" t="s">
        <v>30</v>
      </c>
      <c r="F3" s="2" t="s">
        <v>34</v>
      </c>
      <c r="G3" s="2">
        <v>19</v>
      </c>
      <c r="H3" s="2" t="s">
        <v>38</v>
      </c>
      <c r="I3" s="2">
        <v>91.07</v>
      </c>
      <c r="K3" s="3" t="s">
        <v>50</v>
      </c>
    </row>
    <row r="4" spans="1:11" x14ac:dyDescent="0.3">
      <c r="A4" s="2" t="s">
        <v>11</v>
      </c>
      <c r="B4" s="2" t="s">
        <v>24</v>
      </c>
      <c r="C4" s="2">
        <v>15</v>
      </c>
      <c r="D4" s="2">
        <v>72</v>
      </c>
      <c r="E4" s="2" t="s">
        <v>29</v>
      </c>
      <c r="F4" s="2" t="s">
        <v>33</v>
      </c>
      <c r="G4" s="2">
        <v>13</v>
      </c>
      <c r="H4" s="2" t="s">
        <v>37</v>
      </c>
      <c r="I4" s="2">
        <v>179.93</v>
      </c>
      <c r="K4" s="2" t="s">
        <v>52</v>
      </c>
    </row>
    <row r="5" spans="1:11" x14ac:dyDescent="0.3">
      <c r="A5" s="2" t="s">
        <v>12</v>
      </c>
      <c r="B5" s="2" t="s">
        <v>25</v>
      </c>
      <c r="C5" s="2">
        <v>35</v>
      </c>
      <c r="D5" s="2">
        <v>56</v>
      </c>
      <c r="E5" s="2" t="s">
        <v>29</v>
      </c>
      <c r="F5" s="2" t="s">
        <v>33</v>
      </c>
      <c r="G5" s="2">
        <v>21</v>
      </c>
      <c r="H5" s="2" t="s">
        <v>39</v>
      </c>
      <c r="I5" s="2">
        <v>159.55000000000001</v>
      </c>
      <c r="K5" s="3" t="s">
        <v>4</v>
      </c>
    </row>
    <row r="6" spans="1:11" x14ac:dyDescent="0.3">
      <c r="A6" s="2" t="s">
        <v>13</v>
      </c>
      <c r="B6" s="2" t="s">
        <v>66</v>
      </c>
      <c r="C6" s="2">
        <v>442</v>
      </c>
      <c r="D6" s="2">
        <v>64</v>
      </c>
      <c r="E6" s="2" t="s">
        <v>31</v>
      </c>
      <c r="F6" s="2" t="s">
        <v>35</v>
      </c>
      <c r="G6" s="2">
        <v>8</v>
      </c>
      <c r="H6" s="2" t="s">
        <v>38</v>
      </c>
      <c r="I6" s="2">
        <v>2.02</v>
      </c>
      <c r="J6" s="4"/>
      <c r="K6" s="2" t="str">
        <f>IFERROR(VLOOKUP(K4,B1:I15,4,FALSE),"NO ITEM")</f>
        <v>NO ITEM</v>
      </c>
    </row>
    <row r="7" spans="1:11" x14ac:dyDescent="0.3">
      <c r="A7" s="2" t="s">
        <v>14</v>
      </c>
      <c r="B7" s="2" t="s">
        <v>24</v>
      </c>
      <c r="C7" s="2">
        <v>99</v>
      </c>
      <c r="D7" s="2">
        <v>79</v>
      </c>
      <c r="E7" s="2" t="s">
        <v>30</v>
      </c>
      <c r="F7" s="2" t="s">
        <v>34</v>
      </c>
      <c r="G7" s="2">
        <v>6</v>
      </c>
      <c r="H7" s="2" t="s">
        <v>37</v>
      </c>
      <c r="I7" s="2">
        <v>116.17</v>
      </c>
      <c r="K7" s="3" t="s">
        <v>6</v>
      </c>
    </row>
    <row r="8" spans="1:11" x14ac:dyDescent="0.3">
      <c r="A8" s="2" t="s">
        <v>15</v>
      </c>
      <c r="B8" s="2" t="s">
        <v>24</v>
      </c>
      <c r="C8" s="2">
        <v>286</v>
      </c>
      <c r="D8" s="2">
        <v>33</v>
      </c>
      <c r="E8" s="2" t="s">
        <v>32</v>
      </c>
      <c r="F8" s="2" t="s">
        <v>36</v>
      </c>
      <c r="G8" s="2">
        <v>17</v>
      </c>
      <c r="H8" s="2" t="s">
        <v>40</v>
      </c>
      <c r="I8" s="2">
        <v>157.27000000000001</v>
      </c>
      <c r="K8" s="2" t="str" cm="1">
        <f t="array" ref="K8">IFERROR(_xlfn.XLOOKUP(K4,A1,E1:F15),"NO ITEM")</f>
        <v>NO ITEM</v>
      </c>
    </row>
    <row r="9" spans="1:11" x14ac:dyDescent="0.3">
      <c r="A9" s="2" t="s">
        <v>16</v>
      </c>
      <c r="B9" s="2" t="s">
        <v>23</v>
      </c>
      <c r="C9" s="2">
        <v>228</v>
      </c>
      <c r="D9" s="2">
        <v>45</v>
      </c>
      <c r="E9" s="2" t="s">
        <v>29</v>
      </c>
      <c r="F9" s="2" t="s">
        <v>33</v>
      </c>
      <c r="G9" s="2">
        <v>18</v>
      </c>
      <c r="H9" s="2" t="s">
        <v>37</v>
      </c>
      <c r="I9" s="2">
        <v>3.93</v>
      </c>
    </row>
    <row r="10" spans="1:11" x14ac:dyDescent="0.3">
      <c r="A10" s="2" t="s">
        <v>17</v>
      </c>
      <c r="B10" s="2" t="s">
        <v>25</v>
      </c>
      <c r="C10" s="2">
        <v>54</v>
      </c>
      <c r="D10" s="2">
        <v>99</v>
      </c>
      <c r="E10" s="2" t="s">
        <v>32</v>
      </c>
      <c r="F10" s="2" t="s">
        <v>36</v>
      </c>
      <c r="G10" s="2">
        <v>11</v>
      </c>
      <c r="H10" s="2" t="s">
        <v>40</v>
      </c>
      <c r="I10" s="2">
        <v>102.09</v>
      </c>
    </row>
    <row r="11" spans="1:11" x14ac:dyDescent="0.3">
      <c r="A11" s="2" t="s">
        <v>18</v>
      </c>
      <c r="B11" s="2" t="s">
        <v>26</v>
      </c>
      <c r="C11" s="2">
        <v>396</v>
      </c>
      <c r="D11" s="2">
        <v>84</v>
      </c>
      <c r="E11" s="2" t="s">
        <v>32</v>
      </c>
      <c r="F11" s="2" t="s">
        <v>36</v>
      </c>
      <c r="G11" s="2">
        <v>17</v>
      </c>
      <c r="H11" s="2" t="s">
        <v>38</v>
      </c>
      <c r="I11" s="2">
        <v>147.57</v>
      </c>
    </row>
    <row r="12" spans="1:11" x14ac:dyDescent="0.3">
      <c r="A12" s="2" t="s">
        <v>19</v>
      </c>
      <c r="B12" s="2" t="s">
        <v>27</v>
      </c>
      <c r="C12" s="2">
        <v>163</v>
      </c>
      <c r="D12" s="2">
        <v>44</v>
      </c>
      <c r="E12" s="2" t="s">
        <v>29</v>
      </c>
      <c r="F12" s="2" t="s">
        <v>33</v>
      </c>
      <c r="G12" s="2">
        <v>17</v>
      </c>
      <c r="H12" s="2" t="s">
        <v>37</v>
      </c>
      <c r="I12" s="2">
        <v>155.35</v>
      </c>
    </row>
    <row r="13" spans="1:11" x14ac:dyDescent="0.3">
      <c r="A13" s="2" t="s">
        <v>20</v>
      </c>
      <c r="B13" s="2" t="s">
        <v>26</v>
      </c>
      <c r="C13" s="2">
        <v>445</v>
      </c>
      <c r="D13" s="2">
        <v>80</v>
      </c>
      <c r="E13" s="2" t="s">
        <v>30</v>
      </c>
      <c r="F13" s="2" t="s">
        <v>34</v>
      </c>
      <c r="G13" s="2">
        <v>20</v>
      </c>
      <c r="H13" s="2" t="s">
        <v>41</v>
      </c>
      <c r="I13" s="2">
        <v>4.07</v>
      </c>
    </row>
    <row r="14" spans="1:11" x14ac:dyDescent="0.3">
      <c r="A14" s="2" t="s">
        <v>21</v>
      </c>
      <c r="B14" s="2" t="s">
        <v>66</v>
      </c>
      <c r="C14" s="2">
        <v>437</v>
      </c>
      <c r="D14" s="2">
        <v>83</v>
      </c>
      <c r="E14" s="2" t="s">
        <v>32</v>
      </c>
      <c r="F14" s="2" t="s">
        <v>36</v>
      </c>
      <c r="G14" s="2">
        <v>11</v>
      </c>
      <c r="H14" s="2" t="s">
        <v>39</v>
      </c>
      <c r="I14" s="2">
        <v>128.82</v>
      </c>
    </row>
    <row r="15" spans="1:11" x14ac:dyDescent="0.3">
      <c r="A15" s="2" t="s">
        <v>22</v>
      </c>
      <c r="B15" s="2" t="s">
        <v>66</v>
      </c>
      <c r="C15" s="2">
        <v>301</v>
      </c>
      <c r="D15" s="2">
        <v>27</v>
      </c>
      <c r="E15" s="2" t="s">
        <v>29</v>
      </c>
      <c r="F15" s="2" t="s">
        <v>33</v>
      </c>
      <c r="G15" s="2">
        <v>10</v>
      </c>
      <c r="H15" s="2" t="s">
        <v>38</v>
      </c>
      <c r="I15" s="2">
        <v>66.48</v>
      </c>
    </row>
    <row r="20" spans="1:11" x14ac:dyDescent="0.3">
      <c r="D20">
        <f>VLOOKUP("Printer",B2:I14,8,FALSE)</f>
        <v>147.57</v>
      </c>
      <c r="F20">
        <f>_xlfn.XLOOKUP("Laptop",B1:B15,G1:G15)</f>
        <v>13</v>
      </c>
      <c r="K20" s="3" t="s">
        <v>49</v>
      </c>
    </row>
    <row r="21" spans="1:11" x14ac:dyDescent="0.3">
      <c r="K21" s="2" t="s">
        <v>55</v>
      </c>
    </row>
    <row r="22" spans="1:11" x14ac:dyDescent="0.3">
      <c r="A22" s="3" t="s">
        <v>42</v>
      </c>
      <c r="B22" s="3" t="s">
        <v>24</v>
      </c>
      <c r="C22" s="3" t="s">
        <v>28</v>
      </c>
      <c r="D22" s="3" t="s">
        <v>25</v>
      </c>
      <c r="E22" s="3" t="s">
        <v>43</v>
      </c>
      <c r="F22" s="3" t="s">
        <v>44</v>
      </c>
      <c r="G22" s="3" t="s">
        <v>45</v>
      </c>
      <c r="K22" s="3" t="s">
        <v>53</v>
      </c>
    </row>
    <row r="23" spans="1:11" x14ac:dyDescent="0.3">
      <c r="A23" s="2" t="s">
        <v>46</v>
      </c>
      <c r="B23" s="2">
        <v>40000</v>
      </c>
      <c r="C23" s="2">
        <v>30000</v>
      </c>
      <c r="D23" s="2">
        <v>34000</v>
      </c>
      <c r="E23" s="2">
        <v>350</v>
      </c>
      <c r="F23" s="2">
        <v>200</v>
      </c>
      <c r="G23" s="2">
        <v>150</v>
      </c>
      <c r="K23" s="2" t="str">
        <f>IFERROR(HLOOKUP(K21,A22:G25,2,FALSE),"NO ITEM")</f>
        <v>NO ITEM</v>
      </c>
    </row>
    <row r="24" spans="1:11" x14ac:dyDescent="0.3">
      <c r="A24" s="2" t="s">
        <v>48</v>
      </c>
      <c r="B24" s="2">
        <v>6</v>
      </c>
      <c r="C24" s="2">
        <v>5</v>
      </c>
      <c r="D24" s="2">
        <v>4</v>
      </c>
      <c r="E24" s="2">
        <v>10</v>
      </c>
      <c r="F24" s="2">
        <v>15</v>
      </c>
      <c r="G24" s="2">
        <v>20</v>
      </c>
      <c r="K24" s="3" t="s">
        <v>54</v>
      </c>
    </row>
    <row r="25" spans="1:11" x14ac:dyDescent="0.3">
      <c r="A25" s="2" t="s">
        <v>47</v>
      </c>
      <c r="B25" s="2">
        <v>2025</v>
      </c>
      <c r="C25" s="2">
        <v>2024</v>
      </c>
      <c r="D25" s="2">
        <v>2023</v>
      </c>
      <c r="E25" s="2">
        <v>2022</v>
      </c>
      <c r="F25" s="2">
        <v>2024</v>
      </c>
      <c r="G25" s="2">
        <v>2026</v>
      </c>
      <c r="K25" s="2" t="str">
        <f>IFERROR(_xlfn.XLOOKUP(K21,A22:G22,A25:G25),"NO ITEM")</f>
        <v>NO ITEM</v>
      </c>
    </row>
    <row r="28" spans="1:11" x14ac:dyDescent="0.3">
      <c r="D28">
        <f>HLOOKUP("mouse",A22:G25,4,FALSE)</f>
        <v>2022</v>
      </c>
    </row>
    <row r="30" spans="1:11" x14ac:dyDescent="0.3">
      <c r="B30" s="3" t="s">
        <v>56</v>
      </c>
      <c r="C30" s="3" t="s">
        <v>57</v>
      </c>
      <c r="D30" s="3" t="s">
        <v>58</v>
      </c>
      <c r="E30" s="3" t="s">
        <v>59</v>
      </c>
      <c r="F30" s="3" t="s">
        <v>60</v>
      </c>
    </row>
    <row r="31" spans="1:11" x14ac:dyDescent="0.3">
      <c r="B31" s="2" t="s">
        <v>62</v>
      </c>
      <c r="C31" s="2" t="str">
        <f>UPPER(F31)</f>
        <v>UDAY KUMAR</v>
      </c>
      <c r="D31" s="2" t="str">
        <f>LOWER(F31)</f>
        <v>uday kumar</v>
      </c>
      <c r="E31" s="2" t="str">
        <f>PROPER(F31)</f>
        <v>Uday Kumar</v>
      </c>
      <c r="F31" s="2" t="str">
        <f>TRIM(B31)</f>
        <v>uday KUMar</v>
      </c>
    </row>
    <row r="32" spans="1:11" x14ac:dyDescent="0.3">
      <c r="B32" s="2" t="s">
        <v>64</v>
      </c>
      <c r="C32" s="2" t="str">
        <f t="shared" ref="C32:C34" si="0">UPPER(F32)</f>
        <v>SHIVA PRANAV</v>
      </c>
      <c r="D32" s="2" t="str">
        <f t="shared" ref="D32:D34" si="1">LOWER(F32)</f>
        <v>shiva pranav</v>
      </c>
      <c r="E32" s="2" t="str">
        <f t="shared" ref="E32:E34" si="2">PROPER(F32)</f>
        <v>Shiva Pranav</v>
      </c>
      <c r="F32" s="2" t="str">
        <f t="shared" ref="F32:F33" si="3">TRIM(B32)</f>
        <v>shiva praNAV</v>
      </c>
    </row>
    <row r="33" spans="2:10" x14ac:dyDescent="0.3">
      <c r="B33" s="2" t="s">
        <v>61</v>
      </c>
      <c r="C33" s="2" t="str">
        <f t="shared" si="0"/>
        <v>LAXMAN</v>
      </c>
      <c r="D33" s="2" t="str">
        <f t="shared" si="1"/>
        <v>laxman</v>
      </c>
      <c r="E33" s="2" t="str">
        <f t="shared" si="2"/>
        <v>Laxman</v>
      </c>
      <c r="F33" s="2" t="str">
        <f t="shared" si="3"/>
        <v>lAXmaN</v>
      </c>
    </row>
    <row r="34" spans="2:10" x14ac:dyDescent="0.3">
      <c r="B34" s="2" t="s">
        <v>63</v>
      </c>
      <c r="C34" s="2" t="str">
        <f t="shared" si="0"/>
        <v>SHIVA KESAGANI</v>
      </c>
      <c r="D34" s="2" t="str">
        <f t="shared" si="1"/>
        <v>shiva kesagani</v>
      </c>
      <c r="E34" s="2" t="str">
        <f t="shared" si="2"/>
        <v>Shiva Kesagani</v>
      </c>
      <c r="F34" s="2" t="str">
        <f>TRIM(B34)</f>
        <v>sHIva KEsaGAnI</v>
      </c>
    </row>
    <row r="40" spans="2:10" x14ac:dyDescent="0.3">
      <c r="E40" s="4" t="s">
        <v>65</v>
      </c>
    </row>
    <row r="42" spans="2:10" x14ac:dyDescent="0.3"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</row>
    <row r="43" spans="2:10" x14ac:dyDescent="0.3">
      <c r="B43" s="2" t="s">
        <v>9</v>
      </c>
      <c r="C43" s="2" t="s">
        <v>23</v>
      </c>
      <c r="D43" s="2">
        <v>97</v>
      </c>
      <c r="E43" s="2">
        <v>81</v>
      </c>
      <c r="F43" s="2" t="s">
        <v>29</v>
      </c>
      <c r="G43" s="2" t="s">
        <v>33</v>
      </c>
      <c r="H43" s="2">
        <v>17</v>
      </c>
      <c r="I43" s="2" t="s">
        <v>37</v>
      </c>
      <c r="J43" s="2">
        <v>174.13</v>
      </c>
    </row>
    <row r="44" spans="2:10" x14ac:dyDescent="0.3">
      <c r="B44" s="2" t="s">
        <v>11</v>
      </c>
      <c r="C44" s="2" t="s">
        <v>24</v>
      </c>
      <c r="D44" s="2">
        <v>15</v>
      </c>
      <c r="E44" s="2">
        <v>72</v>
      </c>
      <c r="F44" s="2" t="s">
        <v>29</v>
      </c>
      <c r="G44" s="2" t="s">
        <v>33</v>
      </c>
      <c r="H44" s="2">
        <v>13</v>
      </c>
      <c r="I44" s="2" t="s">
        <v>37</v>
      </c>
      <c r="J44" s="2">
        <v>179.93</v>
      </c>
    </row>
    <row r="45" spans="2:10" x14ac:dyDescent="0.3">
      <c r="B45" s="2" t="s">
        <v>12</v>
      </c>
      <c r="C45" s="2" t="s">
        <v>25</v>
      </c>
      <c r="D45" s="2">
        <v>35</v>
      </c>
      <c r="E45" s="2">
        <v>56</v>
      </c>
      <c r="F45" s="2" t="s">
        <v>29</v>
      </c>
      <c r="G45" s="2" t="s">
        <v>33</v>
      </c>
      <c r="H45" s="2">
        <v>21</v>
      </c>
      <c r="I45" s="2" t="s">
        <v>39</v>
      </c>
      <c r="J45" s="2">
        <v>159.55000000000001</v>
      </c>
    </row>
    <row r="46" spans="2:10" x14ac:dyDescent="0.3">
      <c r="B46" s="2" t="s">
        <v>13</v>
      </c>
      <c r="C46" s="2" t="s">
        <v>66</v>
      </c>
      <c r="D46" s="2">
        <v>442</v>
      </c>
      <c r="E46" s="2">
        <v>64</v>
      </c>
      <c r="F46" s="2" t="s">
        <v>31</v>
      </c>
      <c r="G46" s="2" t="s">
        <v>35</v>
      </c>
      <c r="H46" s="2">
        <v>8</v>
      </c>
      <c r="I46" s="2" t="s">
        <v>38</v>
      </c>
      <c r="J46" s="2">
        <v>2.02</v>
      </c>
    </row>
    <row r="47" spans="2:10" x14ac:dyDescent="0.3">
      <c r="B47" s="2" t="s">
        <v>18</v>
      </c>
      <c r="C47" s="2" t="s">
        <v>26</v>
      </c>
      <c r="D47" s="2">
        <v>396</v>
      </c>
      <c r="E47" s="2">
        <v>84</v>
      </c>
      <c r="F47" s="2" t="s">
        <v>32</v>
      </c>
      <c r="G47" s="2" t="s">
        <v>36</v>
      </c>
      <c r="H47" s="2">
        <v>17</v>
      </c>
      <c r="I47" s="2" t="s">
        <v>38</v>
      </c>
      <c r="J47" s="2">
        <v>147.57</v>
      </c>
    </row>
    <row r="48" spans="2:10" x14ac:dyDescent="0.3">
      <c r="B48" s="2" t="s">
        <v>19</v>
      </c>
      <c r="C48" s="2" t="s">
        <v>27</v>
      </c>
      <c r="D48" s="2">
        <v>163</v>
      </c>
      <c r="E48" s="2">
        <v>44</v>
      </c>
      <c r="F48" s="2" t="s">
        <v>29</v>
      </c>
      <c r="G48" s="2" t="s">
        <v>33</v>
      </c>
      <c r="H48" s="2">
        <v>17</v>
      </c>
      <c r="I48" s="2" t="s">
        <v>37</v>
      </c>
      <c r="J48" s="2">
        <v>155.35</v>
      </c>
    </row>
  </sheetData>
  <conditionalFormatting sqref="J1:J15">
    <cfRule type="duplicateValues" dxfId="5" priority="2"/>
  </conditionalFormatting>
  <conditionalFormatting sqref="B42:E48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 chaganti</cp:lastModifiedBy>
  <dcterms:created xsi:type="dcterms:W3CDTF">2025-06-21T13:19:13Z</dcterms:created>
  <dcterms:modified xsi:type="dcterms:W3CDTF">2026-06-05T06:45:30Z</dcterms:modified>
</cp:coreProperties>
</file>